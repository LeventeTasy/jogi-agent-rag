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vi\PyCharmProjects\jogi-agent-rag\test\results\model_comparison\"/>
    </mc:Choice>
  </mc:AlternateContent>
  <xr:revisionPtr revIDLastSave="0" documentId="13_ncr:1_{9123FCFB-51BA-402D-9336-B54E6A7E4679}" xr6:coauthVersionLast="47" xr6:coauthVersionMax="47" xr10:uidLastSave="{00000000-0000-0000-0000-000000000000}"/>
  <bookViews>
    <workbookView xWindow="-108" yWindow="-108" windowWidth="23256" windowHeight="12456" xr2:uid="{D9DAACF3-2B6D-4249-925C-DCD65B142A30}"/>
  </bookViews>
  <sheets>
    <sheet name="Összefoglaló" sheetId="1" r:id="rId1"/>
    <sheet name="Kérdések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31" i="2" l="1"/>
  <c r="AB29" i="2"/>
  <c r="AA29" i="2"/>
  <c r="Z29" i="2"/>
  <c r="AC28" i="2"/>
  <c r="AB28" i="2"/>
  <c r="AA28" i="2"/>
  <c r="Z28" i="2"/>
  <c r="Y31" i="2"/>
  <c r="X29" i="2"/>
  <c r="W29" i="2"/>
  <c r="V29" i="2"/>
  <c r="Y28" i="2"/>
  <c r="X28" i="2"/>
  <c r="W28" i="2"/>
  <c r="V28" i="2"/>
  <c r="U31" i="2"/>
  <c r="P31" i="2"/>
  <c r="L31" i="2"/>
  <c r="G31" i="2"/>
  <c r="Q28" i="2"/>
  <c r="H28" i="2"/>
  <c r="U28" i="2"/>
  <c r="P28" i="2"/>
  <c r="L28" i="2"/>
  <c r="G28" i="2"/>
  <c r="F28" i="2"/>
  <c r="S29" i="2"/>
  <c r="T29" i="2"/>
  <c r="N29" i="2"/>
  <c r="O29" i="2"/>
  <c r="J29" i="2"/>
  <c r="K29" i="2"/>
  <c r="E29" i="2"/>
  <c r="F29" i="2"/>
  <c r="R29" i="2"/>
  <c r="M29" i="2"/>
  <c r="I29" i="2"/>
  <c r="D29" i="2"/>
  <c r="E28" i="2"/>
  <c r="I28" i="2"/>
  <c r="J28" i="2"/>
  <c r="K28" i="2"/>
  <c r="M28" i="2"/>
  <c r="N28" i="2"/>
  <c r="O28" i="2"/>
  <c r="R28" i="2"/>
  <c r="S28" i="2"/>
  <c r="T28" i="2"/>
  <c r="D28" i="2"/>
  <c r="Z30" i="2" l="1"/>
  <c r="V30" i="2"/>
  <c r="I30" i="2"/>
  <c r="M30" i="2"/>
  <c r="D30" i="2"/>
  <c r="R30" i="2"/>
</calcChain>
</file>

<file path=xl/sharedStrings.xml><?xml version="1.0" encoding="utf-8"?>
<sst xmlns="http://schemas.openxmlformats.org/spreadsheetml/2006/main" count="129" uniqueCount="58">
  <si>
    <t>Base Model</t>
  </si>
  <si>
    <t>Base Model without Verifier</t>
  </si>
  <si>
    <t>Unified Model (Researcher+Grounding Verifier)</t>
  </si>
  <si>
    <t>Faithfulness</t>
  </si>
  <si>
    <t>Hallutination</t>
  </si>
  <si>
    <t>Answer Relevancy</t>
  </si>
  <si>
    <t>Context Relevancy</t>
  </si>
  <si>
    <t>Total Tokens avg.</t>
  </si>
  <si>
    <t>Verifier ran</t>
  </si>
  <si>
    <t>-</t>
  </si>
  <si>
    <t>Runtime avg.</t>
  </si>
  <si>
    <t>Mérés 25 kérdésen történt, csoportonként 3 könnyű, 2 nehéz kérdésen, illetve plusz 5 kombinált kérdésen.</t>
  </si>
  <si>
    <t>GDPR rendelet</t>
  </si>
  <si>
    <t>SZJA törvény</t>
  </si>
  <si>
    <t>Kombinált</t>
  </si>
  <si>
    <t>könnyű</t>
  </si>
  <si>
    <t>nehéz</t>
  </si>
  <si>
    <t>összetett</t>
  </si>
  <si>
    <t>Munkavállalóként hány munkanap távollétre vagyok jogosult a hozzátartozóm halála esetén a Munka Törvénykönyve alapján?</t>
  </si>
  <si>
    <t>Legalább hány nappal korábban köteles a munkavállaló írásban bejelenteni a fizetés nélküli szabadság igénybevételét a munkáltatója felé?</t>
  </si>
  <si>
    <t>A munkavállaló súlyos egészségi okból gondozásra szoruló hozzátartozója ápolása céljából évente legfeljebb hány munkanap mentesülésre jogosult a munkavégzési kötelezettsége alól?</t>
  </si>
  <si>
    <t>A felügyeleti hatóság korrekciós hatáskörében eljárva milyen intézkedést hozhat, ha egy adatkezelő adatkezelési tevékenysége megsértette a rendelet rendelkezéseit?</t>
  </si>
  <si>
    <t>Mentesülhet-e az adatkezelő a kártérítési felelősség alól, ha bizonyítani tudja, hogy a kárt előidéző eseményért őt semmilyen módon nem terheli felelősség?</t>
  </si>
  <si>
    <t>Munka Törvénykönyve (Mt,)</t>
  </si>
  <si>
    <t>Egy vállalat átalakulása során (munkáltató személyében bekövetkező változás) az átadó munkáltatónál üzemi tanács nem működik, A munkáltatók megállapodtak, hogy az átvevő munkáltató tájékoztatja a munkavállalókat az átszállásról, Az átvevő munkáltató az átszállás napján írásban közölte a munkáltató azonosító adatait és a munkafeltételek változását, Milyen jogi következménye van annak, hogy a tájékoztatásra az átszállást megelőző 15 napos határidőn belül nem került sor, és milyen felelősségi szabály vonatkozik az átszállás előtti munkavállalói követelésekre?</t>
  </si>
  <si>
    <t>Egy munkavállaló, aki megváltozott munkaképességű, július 1-jén lépett munkaviszonyba, A munkavállaló augusztus hónapban üzemi baleset miatt vált keresőképtelenné, majd a felépülése után, októberben betegség miatt 10 munkanapra keresőképtelenné vált, Jogosult-e az érintett a 120, § szerinti 5 munkanap pótszabadságra az adott naptári évben, és hány munkanap betegszabadság illeti meg az év hátralévő részében a 126, § szabályai alapján?</t>
  </si>
  <si>
    <t>Egy ügyfél vagyoni kárt szenvedett az adatkezelő szabálytalan adatkezelése miatt, Melyik cikk alapján jogosult kártérítést követelni az adatkezelőtől?</t>
  </si>
  <si>
    <t>Egy ügyvédi iroda (adatkezelő) szakmai titoktartási kötelezettség hatálya alá tartozó iratanyagot kezel, A felügyeleti hatóság vizsgálatot indít az irodánál, és betekintést kér az ügyfélaktákba, Hogyan kell a tagállami jog szerinti titoktartási kötelezettséget a 90, cikk alapján összeegyeztetni a felügyeleti hatóság 58, cikk szerinti ellenőrzési hatáskörével, és milyen feltételeknek kell megfelelni ahhoz, hogy a hatóság egyáltalán korlátozhatja az adatkezelőre vonatkozó titoktartási kötelezettséget?</t>
  </si>
  <si>
    <t>Egy érintett a 18, cikk (1) bekezdésének c) pontjára hivatkozva kéri személyes adatai kezelésének korlátozását, mivel az adatkezelőnek a konkrét adatkezelési cél megvalósulása miatt már nincs szüksége az adatokra, de az érintett azokat egy folyamatban lévő polgári peres eljárásban bizonyítékként kívánja felhasználni, Az adatkezelő az adatokat a korlátozást követően egy külső, jogi képviseletet ellátó ügyvédi iroda szerverére kívánja áthelyezni jogi igényeinek védelme érdekében, Megfelel-e ez az adatkezelési művelet a 18, cikk (2) bekezdésének, és milyen tájékoztatási kötelezettségei keletkeznek az adatkezelőnek az adatkezelés esetleges későbbi feloldása kapcsán?</t>
  </si>
  <si>
    <t>Polgári Törvénykönyv (Ptk,)</t>
  </si>
  <si>
    <t>Házastársak elváltak, de nem tudnak megállapodni a közös lakás további használatáról, Melyik szerv dönthet ilyen esetben a lakáshasználat rendezéséről valamelyik fél kérelmére?</t>
  </si>
  <si>
    <t>Egy bank hitelt nyújtott, amelynek biztosítékául két zálogjogosult is bejegyeztetett zálogjogot, Átveheti-e a megelőző ranghelyű zálogjogosult a zálogjog érvényesítését a már megkezdett eljárás során?</t>
  </si>
  <si>
    <t>A vagyonrendelő és a kedvezményezett elégedetlen a vagyonkezelő döntéseivel, ezért írásban utasítják a vagyonkezelőt a kezelt vagyon értékesítésére, Érvényes-e ez az utasítás?</t>
  </si>
  <si>
    <t>Egy határozatlan idejű bérleti szerződés esetén a bérbeadó a hónap 20, napján közli a rendes felmondást a bérlővel, A Ptk, 6:347, § alapján a bérleti jogviszony mikor tekinthető megszűntnek, tekintettel arra, hogy a felek nem a törvényben meghatározott 15, napi határidőt tartották be?</t>
  </si>
  <si>
    <t>Egy vétőképtelen személy kárt okoz egy harmadik félnek, A kártérítési perben a vétőképtelen gondozója bizonyítja, hogy a károkozás idején a felügyeletet megfelelően ellátta, és a nevelésével kapcsolatban semmilyen felróhatóság nem terheli, A Ptk, 6:544, § rendelkezései értelmében mentesül-e a gondozó a kártérítési felelősség alól, vagy a vétőképtelen személy cselekvőképességének hiánya objektív felelősséget von maga után?</t>
  </si>
  <si>
    <t>Egy magánszemély közüzemi szolgáltatója a fogyasztóvédelmi törvényben meghatározott szabályok szerint elengedett egy tartozást, Milyen jövedelemhatár esetén nem keletkezik ebből adóköteles jövedelme a magánszemélynek, ha a kötelezett és a vele közös háztartásban élő hozzátartozóinak egy főre eső jövedelme a nyilatkozattételt megelőző három hónap átlagában a szociális vetítési alap összegének kétszeresét vizsgáljuk?</t>
  </si>
  <si>
    <t>Az SzJA törvény 50, § (7) bekezdése alapján mennyi időre tilos ismételten átalányadózást választania annak az egyéni vállalkozónak, aki az átalányadózását megszüntette, vagy az arra való jogosultsága megszűnt?</t>
  </si>
  <si>
    <t>A 67/C, § alapján az adóévben kriptoeszközzel végrehajtott ügyletből származó ügyleti bevételt akkor nem kell megállapítani, ha az ügyletből származó bevétel a minimálbér mekkora százalékát nem haladja meg, feltéve, hogy a bevétel megszerzésének napján más, azonos tárgyú ügyletből a magánszemély nem szerez bevételt, továbbá az adóévben e bevételek összege a minimálbért nem haladja meg?</t>
  </si>
  <si>
    <t>Egy magánszemély egyéni vállalkozóként mezőgazdasági tevékenységet folytat, és elhatárolt veszteséggel rendelkezik, A vállalkozó az adóév végén megszünteti egyéni vállalkozói jogállását, és tevékenységét mezőgazdasági őstermelőként folytatja tovább, Milyen szabályok szerint számolhatja el a korábbi egyéni vállalkozói időszakból fennmaradt elhatárolt veszteségét az őstermelői jogállás alatt, figyelembe véve a 49/A, § (10) bekezdés d) pontját?</t>
  </si>
  <si>
    <t>A 66, § (1) bekezdés a) pont ae) és ag) alpontja értelmében osztaléknak minősülő juttatások esetében a 66, § (4) bekezdése értelmében mikor nem alkalmazható az osztalékjövedelemre vonatkozó rendelkezés, ha a kedvezményezett magánszemély a jogállását nem alapítói, hanem egyéb, tevékenységnyújtással összefüggő jogcímen szerezte?</t>
  </si>
  <si>
    <t>Egy munkáltató teljesítménybérezési rendszert vezet be, amelyhez a munkavállalók szigorú KPI-jait egy felhőalapú rendszerben tárolja, Az adatvédelmi tisztviselő (GDPR 37, cikk) aggályokat fogalmaz meg a rendszer adatbiztonsága miatt, ugyanakkor a munkáltató a 138, § szerinti teljesítménykövetelmény-megállapítási kötelezettsége kapcsán vitába keveredik a dolgozókkal, Mely jogszabályi rendelkezések alapján kell a munkáltatónak bizonyítania a rendszer jogszerűségét, és milyen adatvédelmi szankciókat kockáztat, ha a teljesítményértékeléshez egészségügyi adatokat (GDPR 9, cikk) is szisztematikusan rögzít?</t>
  </si>
  <si>
    <t>Egy zálogjogosult (Ptk, 5:131, §) el kívánja árverezni egy adós üzemi berendezését, Az eljárás során a zálogjogosult az adós által a cégtől kapott, kedvezményes lakáscélú hitel (SZJA 72, §) dokumentációját is értékesítené, mint a követeléshez kapcsolódó iratanyagot, Hogyan érinti az előzetes értesítési kötelezettség (Ptk, 5:131, §) az adatkezelési szabályokat, ha az értékesítendő iratok az érintettek különleges adatait (GDPR 9, cikk) tartalmazzák, és a zálogtárgy nem esik a gyorsan romló dolgok körébe?</t>
  </si>
  <si>
    <t>Munkáltatói kártérítési felelősség körébe tartozó hiány esetén a felek megállapodnak, hogy a munkavállaló a tartozását a munkáltató által korábban nyújtott munkabérelőleg (SZJA 72, §) elszámolásával egyenlíti ki, A folyamat során azonban a munkáltató a munkavállaló szabadságmegváltását is beszámítaná a hiányba, Milyen munkajogi korlátok vonatkoznak a szabadság kiadására/megváltására (Mt, 115, §) a kártérítési beszámítás során, és hogyan minősül adózási szempontból a kártérítési felelősséggel összefüggő hiány (SZJA 72, § (4) m) pont)?</t>
  </si>
  <si>
    <t>Egy közfeladatot ellátó szerv (GDPR 37, cikk) zálogjogot érvényesít egy olyan ingatlanon, amelynek a tulajdonosa egyúttal a szervnél munkaviszonyban álló magánszemély, A szerv az értékesítési folyamat során a zálogkötelezett munkavállalói jövedelemadatait is kezeli a követelés mértékének megállapításához, Ütközik-e az SZJA törvény 4, § szerinti bevétel fogalma és a munkabér-elszámolás adatkezelési rendje a Ptk, 5:131, § szerinti előzetes értesítési kötelezettséggel, ha a zálogjogosult a közös adatvédelmi tisztviselő révén kívánja biztosítani az adatok védelmét?</t>
  </si>
  <si>
    <t>Biztosítási szerződés keretében a biztosító a fedezetfeltöltés (Ptk, 6:461, §) elmulasztása miatt csökkenti a biztosítási összeget, ugyanakkor az adóhatóság az eredeti (teljes) biztosítási összeg után megfizetett díj kedvezményezettjének jövedelemadózását vizsgálja, Hogyan értelmezhető az SZJA törvény 72, § szerinti kamatkedvezmény, ha a biztosító a fedezetfeltöltés során kedvezményes törlesztési lehetőséget kínál a munkavállaló szerződő félnek, és hogyan kell biztosítani az adatvédelmi tisztviselő bevonását, ha a biztosítási esemény különleges adatot (GDPR 9, cikk) is érint?</t>
  </si>
  <si>
    <t>Question</t>
  </si>
  <si>
    <t>Law</t>
  </si>
  <si>
    <t>Type</t>
  </si>
  <si>
    <t>Error:</t>
  </si>
  <si>
    <t>Error avg.:</t>
  </si>
  <si>
    <t>Avg.:</t>
  </si>
  <si>
    <t>Total Tokens</t>
  </si>
  <si>
    <t>Verifier Runs</t>
  </si>
  <si>
    <t>Unified Model (1-3) without Verifier</t>
  </si>
  <si>
    <t>Unified Model 1-3 without Verifier</t>
  </si>
  <si>
    <t>Unified Model 2-4 without Verifier</t>
  </si>
  <si>
    <t>Unified Model (2-3) without Verifier</t>
  </si>
  <si>
    <t>Unified Model (2-4) without Verifier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</si>
</sst>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10" fontId="0" fillId="0" borderId="0" xfId="0" applyNumberFormat="1"/>
    <xf numFmtId="2" fontId="0" fillId="0" borderId="4" xfId="0" applyNumberFormat="1" applyBorder="1"/>
    <xf numFmtId="2" fontId="0" fillId="0" borderId="5" xfId="0" applyNumberFormat="1" applyBorder="1"/>
    <xf numFmtId="2" fontId="0" fillId="0" borderId="9" xfId="0" applyNumberFormat="1" applyBorder="1"/>
    <xf numFmtId="2" fontId="0" fillId="0" borderId="10" xfId="0" applyNumberFormat="1" applyBorder="1"/>
    <xf numFmtId="2" fontId="0" fillId="0" borderId="11" xfId="0" applyNumberFormat="1" applyBorder="1"/>
    <xf numFmtId="164" fontId="0" fillId="0" borderId="6" xfId="0" applyNumberFormat="1" applyBorder="1"/>
    <xf numFmtId="164" fontId="0" fillId="0" borderId="7" xfId="0" applyNumberFormat="1" applyBorder="1"/>
    <xf numFmtId="164" fontId="0" fillId="0" borderId="8" xfId="0" applyNumberForma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14" xfId="0" applyNumberFormat="1" applyBorder="1"/>
    <xf numFmtId="2" fontId="0" fillId="0" borderId="16" xfId="0" applyNumberFormat="1" applyBorder="1"/>
    <xf numFmtId="0" fontId="0" fillId="0" borderId="17" xfId="0" applyBorder="1"/>
    <xf numFmtId="2" fontId="0" fillId="0" borderId="18" xfId="0" applyNumberFormat="1" applyBorder="1"/>
    <xf numFmtId="0" fontId="0" fillId="0" borderId="19" xfId="0" applyBorder="1"/>
    <xf numFmtId="0" fontId="0" fillId="0" borderId="10" xfId="0" applyBorder="1"/>
    <xf numFmtId="2" fontId="0" fillId="0" borderId="20" xfId="0" applyNumberFormat="1" applyBorder="1"/>
    <xf numFmtId="0" fontId="0" fillId="0" borderId="23" xfId="0" applyBorder="1"/>
    <xf numFmtId="0" fontId="0" fillId="0" borderId="24" xfId="0" applyBorder="1"/>
    <xf numFmtId="0" fontId="0" fillId="0" borderId="5" xfId="0" applyBorder="1"/>
    <xf numFmtId="0" fontId="0" fillId="0" borderId="8" xfId="0" applyBorder="1"/>
    <xf numFmtId="2" fontId="0" fillId="0" borderId="0" xfId="0" applyNumberFormat="1"/>
    <xf numFmtId="1" fontId="0" fillId="0" borderId="25" xfId="0" applyNumberFormat="1" applyBorder="1"/>
    <xf numFmtId="1" fontId="0" fillId="0" borderId="0" xfId="0" applyNumberFormat="1"/>
    <xf numFmtId="1" fontId="0" fillId="0" borderId="26" xfId="0" applyNumberFormat="1" applyBorder="1"/>
    <xf numFmtId="0" fontId="0" fillId="0" borderId="27" xfId="0" applyBorder="1"/>
    <xf numFmtId="0" fontId="0" fillId="0" borderId="29" xfId="0" applyBorder="1"/>
    <xf numFmtId="2" fontId="0" fillId="0" borderId="28" xfId="0" applyNumberFormat="1" applyBorder="1"/>
    <xf numFmtId="0" fontId="0" fillId="0" borderId="11" xfId="0" applyBorder="1"/>
    <xf numFmtId="2" fontId="0" fillId="0" borderId="21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22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á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Összefoglaló!$A$2</c:f>
              <c:strCache>
                <c:ptCount val="1"/>
                <c:pt idx="0">
                  <c:v>Faithfulness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(2-3) without Verifier</c:v>
                </c:pt>
              </c:strCache>
            </c:strRef>
          </c:cat>
          <c:val>
            <c:numRef>
              <c:f>Összefoglaló!$B$2:$E$2</c:f>
              <c:numCache>
                <c:formatCode>General</c:formatCode>
                <c:ptCount val="4"/>
                <c:pt idx="0">
                  <c:v>0.97204699999999999</c:v>
                </c:pt>
                <c:pt idx="1">
                  <c:v>0.98533300000000001</c:v>
                </c:pt>
                <c:pt idx="2">
                  <c:v>0.98601099999999997</c:v>
                </c:pt>
                <c:pt idx="3">
                  <c:v>0.99102999999999997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04-405D-9E97-E2372F8495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23607375"/>
        <c:axId val="522801679"/>
      </c:barChart>
      <c:catAx>
        <c:axId val="5236073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01679"/>
        <c:crosses val="autoZero"/>
        <c:auto val="1"/>
        <c:lblAlgn val="ctr"/>
        <c:lblOffset val="100"/>
        <c:noMultiLvlLbl val="0"/>
      </c:catAx>
      <c:valAx>
        <c:axId val="5228016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360737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Hallutination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(2-3) without Verifier</c:v>
                </c:pt>
              </c:strCache>
            </c:strRef>
          </c:cat>
          <c:val>
            <c:numRef>
              <c:f>Összefoglaló!$B$3:$E$3</c:f>
              <c:numCache>
                <c:formatCode>0.00%</c:formatCode>
                <c:ptCount val="4"/>
                <c:pt idx="0">
                  <c:v>2.8000000000000001E-2</c:v>
                </c:pt>
                <c:pt idx="1">
                  <c:v>1.47E-2</c:v>
                </c:pt>
                <c:pt idx="2">
                  <c:v>1.4E-2</c:v>
                </c:pt>
                <c:pt idx="3">
                  <c:v>8.9999999999999993E-3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89-462B-82BF-D1772347A3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358590895"/>
        <c:axId val="522845359"/>
      </c:barChart>
      <c:catAx>
        <c:axId val="3585908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45359"/>
        <c:crosses val="autoZero"/>
        <c:auto val="1"/>
        <c:lblAlgn val="ctr"/>
        <c:lblOffset val="100"/>
        <c:noMultiLvlLbl val="0"/>
      </c:catAx>
      <c:valAx>
        <c:axId val="522845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3585908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Answer Relevancy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(2-3) without Verifier</c:v>
                </c:pt>
              </c:strCache>
            </c:strRef>
          </c:cat>
          <c:val>
            <c:numRef>
              <c:f>Összefoglaló!$B$4:$E$4</c:f>
              <c:numCache>
                <c:formatCode>General</c:formatCode>
                <c:ptCount val="4"/>
                <c:pt idx="0">
                  <c:v>0.98721400000000004</c:v>
                </c:pt>
                <c:pt idx="1">
                  <c:v>0.96231800000000001</c:v>
                </c:pt>
                <c:pt idx="2">
                  <c:v>0.98141299999999998</c:v>
                </c:pt>
                <c:pt idx="3">
                  <c:v>0.98063500000000003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1C-46E1-A123-1ECE06C6A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51532991"/>
        <c:axId val="522842959"/>
      </c:barChart>
      <c:catAx>
        <c:axId val="55153299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42959"/>
        <c:crosses val="autoZero"/>
        <c:auto val="1"/>
        <c:lblAlgn val="ctr"/>
        <c:lblOffset val="100"/>
        <c:noMultiLvlLbl val="0"/>
      </c:catAx>
      <c:valAx>
        <c:axId val="5228429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515329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Context Relevancy</a:t>
            </a:r>
            <a:endParaRPr lang="de-DE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(2-3) without Verifier</c:v>
                </c:pt>
              </c:strCache>
            </c:strRef>
          </c:cat>
          <c:val>
            <c:numRef>
              <c:f>Összefoglaló!$B$5:$E$5</c:f>
              <c:numCache>
                <c:formatCode>General</c:formatCode>
                <c:ptCount val="4"/>
                <c:pt idx="0">
                  <c:v>0.96666700000000005</c:v>
                </c:pt>
                <c:pt idx="1">
                  <c:v>0.908667</c:v>
                </c:pt>
                <c:pt idx="2">
                  <c:v>0.88471</c:v>
                </c:pt>
                <c:pt idx="3">
                  <c:v>0.973333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7C9-471D-AD2F-9FD6907726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49981167"/>
        <c:axId val="522792559"/>
      </c:barChart>
      <c:catAx>
        <c:axId val="5499811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792559"/>
        <c:crosses val="autoZero"/>
        <c:auto val="1"/>
        <c:lblAlgn val="ctr"/>
        <c:lblOffset val="100"/>
        <c:noMultiLvlLbl val="0"/>
      </c:catAx>
      <c:valAx>
        <c:axId val="522792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499811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DE"/>
              <a:t>T</a:t>
            </a:r>
            <a:r>
              <a:rPr lang="hu-HU"/>
              <a:t>otal</a:t>
            </a:r>
            <a:r>
              <a:rPr lang="hu-HU" baseline="0"/>
              <a:t> Tokens avg.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(2-3) without Verifier</c:v>
                </c:pt>
              </c:strCache>
            </c:strRef>
          </c:cat>
          <c:val>
            <c:numRef>
              <c:f>Összefoglaló!$B$6:$E$6</c:f>
              <c:numCache>
                <c:formatCode>General</c:formatCode>
                <c:ptCount val="4"/>
                <c:pt idx="0">
                  <c:v>16870.72</c:v>
                </c:pt>
                <c:pt idx="1">
                  <c:v>10250.719999999999</c:v>
                </c:pt>
                <c:pt idx="2">
                  <c:v>16484.48</c:v>
                </c:pt>
                <c:pt idx="3">
                  <c:v>10966.28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118-4029-B2F2-3BBD6C9DE0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41801807"/>
        <c:axId val="522800719"/>
      </c:barChart>
      <c:catAx>
        <c:axId val="54180180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00719"/>
        <c:crosses val="autoZero"/>
        <c:auto val="1"/>
        <c:lblAlgn val="ctr"/>
        <c:lblOffset val="100"/>
        <c:noMultiLvlLbl val="0"/>
      </c:catAx>
      <c:valAx>
        <c:axId val="522800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4180180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Runtime</a:t>
            </a:r>
            <a:r>
              <a:rPr lang="hu-HU" baseline="0"/>
              <a:t> avg.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M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Összefoglaló!$B$1:$E$1</c:f>
              <c:strCache>
                <c:ptCount val="4"/>
                <c:pt idx="0">
                  <c:v>Base Model</c:v>
                </c:pt>
                <c:pt idx="1">
                  <c:v>Base Model without Verifier</c:v>
                </c:pt>
                <c:pt idx="2">
                  <c:v>Unified Model (Researcher+Grounding Verifier)</c:v>
                </c:pt>
                <c:pt idx="3">
                  <c:v>Unified Model (2-3) without Verifier</c:v>
                </c:pt>
              </c:strCache>
            </c:strRef>
          </c:cat>
          <c:val>
            <c:numRef>
              <c:f>Összefoglaló!$B$7:$E$7</c:f>
              <c:numCache>
                <c:formatCode>General</c:formatCode>
                <c:ptCount val="4"/>
                <c:pt idx="0">
                  <c:v>23.34</c:v>
                </c:pt>
                <c:pt idx="1">
                  <c:v>18.27</c:v>
                </c:pt>
                <c:pt idx="2">
                  <c:v>20.14</c:v>
                </c:pt>
                <c:pt idx="3">
                  <c:v>16.37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55-4C76-B588-6B2ACBDF24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446690367"/>
        <c:axId val="522812239"/>
      </c:barChart>
      <c:catAx>
        <c:axId val="44669036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522812239"/>
        <c:crosses val="autoZero"/>
        <c:auto val="1"/>
        <c:lblAlgn val="ctr"/>
        <c:lblOffset val="100"/>
        <c:noMultiLvlLbl val="0"/>
      </c:catAx>
      <c:valAx>
        <c:axId val="5228122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M"/>
          </a:p>
        </c:txPr>
        <c:crossAx val="4466903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M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hu-H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hu-HU"/>
              <a:t>Total</a:t>
            </a:r>
            <a:r>
              <a:rPr lang="hu-HU" baseline="0"/>
              <a:t> Token Usage</a:t>
            </a:r>
            <a:endParaRPr lang="hu-H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hu-H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val>
            <c:numRef>
              <c:f>(Kérdések!$G$31,Kérdések!$L$31,Kérdések!$P$31,Kérdések!$U$31)</c:f>
              <c:numCache>
                <c:formatCode>General</c:formatCode>
                <c:ptCount val="4"/>
                <c:pt idx="0">
                  <c:v>421768</c:v>
                </c:pt>
                <c:pt idx="1">
                  <c:v>256268</c:v>
                </c:pt>
                <c:pt idx="2">
                  <c:v>412112</c:v>
                </c:pt>
                <c:pt idx="3">
                  <c:v>274157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C5E-4F5B-9422-3AB82BAC80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733285104"/>
        <c:axId val="1302462640"/>
      </c:barChart>
      <c:catAx>
        <c:axId val="173328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302462640"/>
        <c:crosses val="autoZero"/>
        <c:auto val="1"/>
        <c:lblAlgn val="ctr"/>
        <c:lblOffset val="100"/>
        <c:noMultiLvlLbl val="0"/>
      </c:catAx>
      <c:valAx>
        <c:axId val="1302462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hu-HU"/>
          </a:p>
        </c:txPr>
        <c:crossAx val="17332851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hu-H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9525</xdr:rowOff>
    </xdr:from>
    <xdr:to>
      <xdr:col>3</xdr:col>
      <xdr:colOff>1019175</xdr:colOff>
      <xdr:row>27</xdr:row>
      <xdr:rowOff>85725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EB105F2-07E3-3C30-9C77-3F0895B0F7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1019175</xdr:colOff>
      <xdr:row>13</xdr:row>
      <xdr:rowOff>19050</xdr:rowOff>
    </xdr:from>
    <xdr:to>
      <xdr:col>6</xdr:col>
      <xdr:colOff>161925</xdr:colOff>
      <xdr:row>27</xdr:row>
      <xdr:rowOff>95250</xdr:rowOff>
    </xdr:to>
    <xdr:graphicFrame macro="">
      <xdr:nvGraphicFramePr>
        <xdr:cNvPr id="3" name="Graphique 2">
          <a:extLst>
            <a:ext uri="{FF2B5EF4-FFF2-40B4-BE49-F238E27FC236}">
              <a16:creationId xmlns:a16="http://schemas.microsoft.com/office/drawing/2014/main" id="{598A3C0E-276D-DF02-7619-6C2DF81830B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27</xdr:row>
      <xdr:rowOff>104775</xdr:rowOff>
    </xdr:from>
    <xdr:to>
      <xdr:col>3</xdr:col>
      <xdr:colOff>1019175</xdr:colOff>
      <xdr:row>41</xdr:row>
      <xdr:rowOff>180975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D00E275E-12F8-703E-233F-14789AA9E1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1009650</xdr:colOff>
      <xdr:row>27</xdr:row>
      <xdr:rowOff>104775</xdr:rowOff>
    </xdr:from>
    <xdr:to>
      <xdr:col>6</xdr:col>
      <xdr:colOff>152400</xdr:colOff>
      <xdr:row>41</xdr:row>
      <xdr:rowOff>180975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3189DD40-2F1A-5794-B506-731B43C94B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152400</xdr:colOff>
      <xdr:row>13</xdr:row>
      <xdr:rowOff>19050</xdr:rowOff>
    </xdr:from>
    <xdr:to>
      <xdr:col>12</xdr:col>
      <xdr:colOff>152400</xdr:colOff>
      <xdr:row>27</xdr:row>
      <xdr:rowOff>95250</xdr:rowOff>
    </xdr:to>
    <xdr:graphicFrame macro="">
      <xdr:nvGraphicFramePr>
        <xdr:cNvPr id="7" name="Graphique 6">
          <a:extLst>
            <a:ext uri="{FF2B5EF4-FFF2-40B4-BE49-F238E27FC236}">
              <a16:creationId xmlns:a16="http://schemas.microsoft.com/office/drawing/2014/main" id="{3F38702B-6B87-F99C-310A-D8602F9AC81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152400</xdr:colOff>
      <xdr:row>27</xdr:row>
      <xdr:rowOff>123825</xdr:rowOff>
    </xdr:from>
    <xdr:to>
      <xdr:col>12</xdr:col>
      <xdr:colOff>152400</xdr:colOff>
      <xdr:row>42</xdr:row>
      <xdr:rowOff>9525</xdr:rowOff>
    </xdr:to>
    <xdr:graphicFrame macro="">
      <xdr:nvGraphicFramePr>
        <xdr:cNvPr id="8" name="Graphique 7">
          <a:extLst>
            <a:ext uri="{FF2B5EF4-FFF2-40B4-BE49-F238E27FC236}">
              <a16:creationId xmlns:a16="http://schemas.microsoft.com/office/drawing/2014/main" id="{1213FE35-ED9E-8B4F-94AA-E394236291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66675</xdr:colOff>
      <xdr:row>31</xdr:row>
      <xdr:rowOff>138113</xdr:rowOff>
    </xdr:from>
    <xdr:to>
      <xdr:col>7</xdr:col>
      <xdr:colOff>9525</xdr:colOff>
      <xdr:row>46</xdr:row>
      <xdr:rowOff>166688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9758A447-092E-5138-C443-A1D1C44321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é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6300E-0F1F-4949-90ED-4C2BDEB1CA35}">
  <dimension ref="A1:G10"/>
  <sheetViews>
    <sheetView tabSelected="1" workbookViewId="0">
      <selection activeCell="F4" sqref="F4"/>
    </sheetView>
  </sheetViews>
  <sheetFormatPr defaultColWidth="11.5546875" defaultRowHeight="14.4" x14ac:dyDescent="0.3"/>
  <cols>
    <col min="1" max="1" width="16.6640625" bestFit="1" customWidth="1"/>
    <col min="3" max="3" width="25.109375" bestFit="1" customWidth="1"/>
    <col min="4" max="4" width="42.6640625" bestFit="1" customWidth="1"/>
    <col min="5" max="5" width="28.88671875" bestFit="1" customWidth="1"/>
    <col min="6" max="7" width="27.77734375" bestFit="1" customWidth="1"/>
  </cols>
  <sheetData>
    <row r="1" spans="1:7" x14ac:dyDescent="0.3">
      <c r="B1" t="s">
        <v>0</v>
      </c>
      <c r="C1" t="s">
        <v>1</v>
      </c>
      <c r="D1" t="s">
        <v>2</v>
      </c>
      <c r="E1" t="s">
        <v>56</v>
      </c>
      <c r="F1" t="s">
        <v>54</v>
      </c>
      <c r="G1" t="s">
        <v>55</v>
      </c>
    </row>
    <row r="2" spans="1:7" x14ac:dyDescent="0.3">
      <c r="A2" t="s">
        <v>3</v>
      </c>
      <c r="B2">
        <v>0.97204699999999999</v>
      </c>
      <c r="C2">
        <v>0.98533300000000001</v>
      </c>
      <c r="D2">
        <v>0.98601099999999997</v>
      </c>
      <c r="E2">
        <v>0.99102999999999997</v>
      </c>
      <c r="F2">
        <v>0.98959200000000003</v>
      </c>
      <c r="G2">
        <v>0.98220799999999997</v>
      </c>
    </row>
    <row r="3" spans="1:7" x14ac:dyDescent="0.3">
      <c r="A3" t="s">
        <v>4</v>
      </c>
      <c r="B3" s="1">
        <v>2.8000000000000001E-2</v>
      </c>
      <c r="C3" s="1">
        <v>1.47E-2</v>
      </c>
      <c r="D3" s="1">
        <v>1.4E-2</v>
      </c>
      <c r="E3" s="1">
        <v>8.9999999999999993E-3</v>
      </c>
      <c r="F3" s="1">
        <v>1.04E-2</v>
      </c>
      <c r="G3" s="1">
        <v>1.78E-2</v>
      </c>
    </row>
    <row r="4" spans="1:7" x14ac:dyDescent="0.3">
      <c r="A4" t="s">
        <v>5</v>
      </c>
      <c r="B4">
        <v>0.98721400000000004</v>
      </c>
      <c r="C4">
        <v>0.96231800000000001</v>
      </c>
      <c r="D4">
        <v>0.98141299999999998</v>
      </c>
      <c r="E4">
        <v>0.98063500000000003</v>
      </c>
      <c r="F4">
        <v>0.98738400000000004</v>
      </c>
      <c r="G4">
        <v>0.96244200000000002</v>
      </c>
    </row>
    <row r="5" spans="1:7" x14ac:dyDescent="0.3">
      <c r="A5" t="s">
        <v>6</v>
      </c>
      <c r="B5">
        <v>0.96666700000000005</v>
      </c>
      <c r="C5">
        <v>0.908667</v>
      </c>
      <c r="D5">
        <v>0.88471</v>
      </c>
      <c r="E5">
        <v>0.973333</v>
      </c>
      <c r="F5">
        <v>0.92</v>
      </c>
      <c r="G5">
        <v>0.91266700000000001</v>
      </c>
    </row>
    <row r="6" spans="1:7" x14ac:dyDescent="0.3">
      <c r="A6" t="s">
        <v>7</v>
      </c>
      <c r="B6">
        <v>16870.72</v>
      </c>
      <c r="C6">
        <v>10250.719999999999</v>
      </c>
      <c r="D6">
        <v>16484.48</v>
      </c>
      <c r="E6">
        <v>10966.28</v>
      </c>
      <c r="F6">
        <v>12224.56</v>
      </c>
      <c r="G6">
        <v>12087.56</v>
      </c>
    </row>
    <row r="7" spans="1:7" x14ac:dyDescent="0.3">
      <c r="A7" t="s">
        <v>10</v>
      </c>
      <c r="B7">
        <v>23.34</v>
      </c>
      <c r="C7">
        <v>18.27</v>
      </c>
      <c r="D7">
        <v>20.14</v>
      </c>
      <c r="E7">
        <v>16.37</v>
      </c>
      <c r="F7">
        <v>19.13</v>
      </c>
      <c r="G7">
        <v>16.32</v>
      </c>
    </row>
    <row r="8" spans="1:7" x14ac:dyDescent="0.3">
      <c r="A8" t="s">
        <v>8</v>
      </c>
      <c r="B8">
        <v>6</v>
      </c>
      <c r="C8" t="s">
        <v>9</v>
      </c>
      <c r="D8">
        <v>3</v>
      </c>
      <c r="E8" t="s">
        <v>9</v>
      </c>
    </row>
    <row r="10" spans="1:7" x14ac:dyDescent="0.3">
      <c r="A10" t="s">
        <v>11</v>
      </c>
    </row>
  </sheetData>
  <conditionalFormatting sqref="B2:G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E3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:G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5:G5 F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6:E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7:G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8:E8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:F3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:G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3:G3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BC549-5F0D-4260-974E-C5029CF103D9}">
  <dimension ref="A1:AC31"/>
  <sheetViews>
    <sheetView zoomScale="69" workbookViewId="0">
      <selection activeCell="T24" sqref="T24"/>
    </sheetView>
  </sheetViews>
  <sheetFormatPr defaultColWidth="11.5546875" defaultRowHeight="14.4" x14ac:dyDescent="0.3"/>
  <cols>
    <col min="1" max="1" width="25" bestFit="1" customWidth="1"/>
    <col min="2" max="2" width="8.6640625" bestFit="1" customWidth="1"/>
    <col min="3" max="3" width="10.44140625" customWidth="1"/>
    <col min="4" max="4" width="11.5546875" bestFit="1" customWidth="1"/>
    <col min="5" max="6" width="16.21875" bestFit="1" customWidth="1"/>
    <col min="7" max="8" width="11.77734375" bestFit="1" customWidth="1"/>
    <col min="9" max="9" width="16.6640625" bestFit="1" customWidth="1"/>
    <col min="10" max="11" width="16.21875" bestFit="1" customWidth="1"/>
    <col min="12" max="12" width="11.77734375" bestFit="1" customWidth="1"/>
    <col min="13" max="13" width="11.5546875" bestFit="1" customWidth="1"/>
    <col min="14" max="15" width="16.21875" bestFit="1" customWidth="1"/>
    <col min="17" max="17" width="11.77734375" bestFit="1" customWidth="1"/>
    <col min="18" max="18" width="11.5546875" bestFit="1" customWidth="1"/>
    <col min="19" max="20" width="16.21875" bestFit="1" customWidth="1"/>
    <col min="23" max="24" width="16.21875" bestFit="1" customWidth="1"/>
    <col min="27" max="28" width="16.21875" bestFit="1" customWidth="1"/>
  </cols>
  <sheetData>
    <row r="1" spans="1:29" x14ac:dyDescent="0.3">
      <c r="D1" s="38" t="s">
        <v>0</v>
      </c>
      <c r="E1" s="39"/>
      <c r="F1" s="39"/>
      <c r="G1" s="39"/>
      <c r="H1" s="40"/>
      <c r="I1" s="38" t="s">
        <v>1</v>
      </c>
      <c r="J1" s="39"/>
      <c r="K1" s="39"/>
      <c r="L1" s="40"/>
      <c r="M1" s="38" t="s">
        <v>2</v>
      </c>
      <c r="N1" s="39"/>
      <c r="O1" s="39"/>
      <c r="P1" s="39"/>
      <c r="Q1" s="40"/>
      <c r="R1" s="38" t="s">
        <v>56</v>
      </c>
      <c r="S1" s="39"/>
      <c r="T1" s="39"/>
      <c r="U1" s="40"/>
      <c r="V1" s="38" t="s">
        <v>53</v>
      </c>
      <c r="W1" s="39"/>
      <c r="X1" s="39"/>
      <c r="Y1" s="40"/>
      <c r="Z1" s="38" t="s">
        <v>57</v>
      </c>
      <c r="AA1" s="39"/>
      <c r="AB1" s="39"/>
      <c r="AC1" s="40"/>
    </row>
    <row r="2" spans="1:29" x14ac:dyDescent="0.3">
      <c r="A2" s="23" t="s">
        <v>46</v>
      </c>
      <c r="B2" s="24" t="s">
        <v>47</v>
      </c>
      <c r="C2" s="24" t="s">
        <v>45</v>
      </c>
      <c r="D2" s="10" t="s">
        <v>3</v>
      </c>
      <c r="E2" s="11" t="s">
        <v>5</v>
      </c>
      <c r="F2" s="11" t="s">
        <v>6</v>
      </c>
      <c r="G2" s="23" t="s">
        <v>51</v>
      </c>
      <c r="H2" s="31" t="s">
        <v>52</v>
      </c>
      <c r="I2" s="10" t="s">
        <v>3</v>
      </c>
      <c r="J2" s="11" t="s">
        <v>5</v>
      </c>
      <c r="K2" s="11" t="s">
        <v>6</v>
      </c>
      <c r="L2" s="32" t="s">
        <v>51</v>
      </c>
      <c r="M2" s="10" t="s">
        <v>3</v>
      </c>
      <c r="N2" s="11" t="s">
        <v>5</v>
      </c>
      <c r="O2" s="11" t="s">
        <v>6</v>
      </c>
      <c r="P2" s="23" t="s">
        <v>51</v>
      </c>
      <c r="Q2" s="31" t="s">
        <v>52</v>
      </c>
      <c r="R2" s="10" t="s">
        <v>3</v>
      </c>
      <c r="S2" s="11" t="s">
        <v>5</v>
      </c>
      <c r="T2" s="11" t="s">
        <v>6</v>
      </c>
      <c r="U2" s="32" t="s">
        <v>51</v>
      </c>
      <c r="V2" s="10" t="s">
        <v>3</v>
      </c>
      <c r="W2" s="11" t="s">
        <v>5</v>
      </c>
      <c r="X2" s="11" t="s">
        <v>6</v>
      </c>
      <c r="Y2" s="32" t="s">
        <v>51</v>
      </c>
      <c r="Z2" s="10" t="s">
        <v>3</v>
      </c>
      <c r="AA2" s="11" t="s">
        <v>5</v>
      </c>
      <c r="AB2" s="11" t="s">
        <v>6</v>
      </c>
      <c r="AC2" s="32" t="s">
        <v>51</v>
      </c>
    </row>
    <row r="3" spans="1:29" x14ac:dyDescent="0.3">
      <c r="A3" s="13" t="s">
        <v>23</v>
      </c>
      <c r="B3" s="11" t="s">
        <v>15</v>
      </c>
      <c r="C3" s="11" t="s">
        <v>18</v>
      </c>
      <c r="D3" s="14">
        <v>1</v>
      </c>
      <c r="E3" s="15">
        <v>1</v>
      </c>
      <c r="F3" s="15">
        <v>1</v>
      </c>
      <c r="G3" s="13">
        <v>10473</v>
      </c>
      <c r="H3" s="12">
        <v>1</v>
      </c>
      <c r="I3" s="14">
        <v>1</v>
      </c>
      <c r="J3" s="15">
        <v>0.94117647058823495</v>
      </c>
      <c r="K3" s="16">
        <v>0.66666666666666596</v>
      </c>
      <c r="L3" s="12">
        <v>7354</v>
      </c>
      <c r="M3" s="14">
        <v>1</v>
      </c>
      <c r="N3" s="15">
        <v>1</v>
      </c>
      <c r="O3" s="16">
        <v>0.66666666666666596</v>
      </c>
      <c r="P3" s="11">
        <v>11434</v>
      </c>
      <c r="Q3" s="12">
        <v>1</v>
      </c>
      <c r="R3" s="14">
        <v>1</v>
      </c>
      <c r="S3" s="15">
        <v>0.9375</v>
      </c>
      <c r="T3" s="17">
        <v>0.66666666666666596</v>
      </c>
      <c r="U3" s="12">
        <v>8785</v>
      </c>
      <c r="V3" s="14">
        <v>1</v>
      </c>
      <c r="W3" s="15">
        <v>1</v>
      </c>
      <c r="X3" s="17">
        <v>0.66666666666666596</v>
      </c>
      <c r="Y3" s="12">
        <v>11313</v>
      </c>
      <c r="Z3" s="14">
        <v>1</v>
      </c>
      <c r="AA3" s="15">
        <v>1</v>
      </c>
      <c r="AB3" s="17">
        <v>1</v>
      </c>
      <c r="AC3" s="12">
        <v>9207</v>
      </c>
    </row>
    <row r="4" spans="1:29" x14ac:dyDescent="0.3">
      <c r="A4" s="18" t="s">
        <v>23</v>
      </c>
      <c r="B4" t="s">
        <v>15</v>
      </c>
      <c r="C4" t="s">
        <v>19</v>
      </c>
      <c r="D4" s="2">
        <v>0.76923076923076905</v>
      </c>
      <c r="E4" s="27">
        <v>1</v>
      </c>
      <c r="F4" s="27">
        <v>0.75</v>
      </c>
      <c r="G4" s="18">
        <v>19524</v>
      </c>
      <c r="H4" s="25">
        <v>2</v>
      </c>
      <c r="I4" s="2">
        <v>0.91666666666666596</v>
      </c>
      <c r="J4" s="27">
        <v>1</v>
      </c>
      <c r="K4" s="3">
        <v>0.66666666666666596</v>
      </c>
      <c r="L4" s="25">
        <v>8567</v>
      </c>
      <c r="M4" s="2">
        <v>1</v>
      </c>
      <c r="N4" s="27">
        <v>1</v>
      </c>
      <c r="O4" s="3">
        <v>0.5</v>
      </c>
      <c r="P4">
        <v>12488</v>
      </c>
      <c r="Q4" s="25">
        <v>1</v>
      </c>
      <c r="R4" s="2">
        <v>1</v>
      </c>
      <c r="S4" s="27">
        <v>0.92307692307692302</v>
      </c>
      <c r="T4" s="19">
        <v>1</v>
      </c>
      <c r="U4" s="25">
        <v>9699</v>
      </c>
      <c r="V4" s="2">
        <v>0.9375</v>
      </c>
      <c r="W4" s="27">
        <v>1</v>
      </c>
      <c r="X4" s="19">
        <v>1</v>
      </c>
      <c r="Y4" s="25">
        <v>10429</v>
      </c>
      <c r="Z4" s="2">
        <v>1</v>
      </c>
      <c r="AA4" s="27">
        <v>1</v>
      </c>
      <c r="AB4" s="19">
        <v>0.33333333333333298</v>
      </c>
      <c r="AC4" s="25">
        <v>9751</v>
      </c>
    </row>
    <row r="5" spans="1:29" x14ac:dyDescent="0.3">
      <c r="A5" s="18" t="s">
        <v>23</v>
      </c>
      <c r="B5" t="s">
        <v>15</v>
      </c>
      <c r="C5" t="s">
        <v>20</v>
      </c>
      <c r="D5" s="2">
        <v>1</v>
      </c>
      <c r="E5" s="27">
        <v>1</v>
      </c>
      <c r="F5" s="27">
        <v>0.66666666666666596</v>
      </c>
      <c r="G5" s="18">
        <v>12292</v>
      </c>
      <c r="H5" s="25">
        <v>1</v>
      </c>
      <c r="I5" s="2">
        <v>1</v>
      </c>
      <c r="J5" s="27">
        <v>0.8125</v>
      </c>
      <c r="K5" s="3">
        <v>0.66666666666666596</v>
      </c>
      <c r="L5" s="25">
        <v>8882</v>
      </c>
      <c r="M5" s="2">
        <v>1</v>
      </c>
      <c r="N5" s="27">
        <v>0.95652173913043403</v>
      </c>
      <c r="O5" s="3">
        <v>0.6</v>
      </c>
      <c r="P5">
        <v>15949</v>
      </c>
      <c r="Q5" s="25">
        <v>1</v>
      </c>
      <c r="R5" s="2">
        <v>0.93333333333333302</v>
      </c>
      <c r="S5" s="27">
        <v>1</v>
      </c>
      <c r="T5" s="19">
        <v>1</v>
      </c>
      <c r="U5" s="25">
        <v>8315</v>
      </c>
      <c r="V5" s="2">
        <v>1</v>
      </c>
      <c r="W5" s="27">
        <v>1</v>
      </c>
      <c r="X5" s="19">
        <v>0.33333333333333298</v>
      </c>
      <c r="Y5" s="25">
        <v>9257</v>
      </c>
      <c r="Z5" s="2">
        <v>1</v>
      </c>
      <c r="AA5" s="27">
        <v>0.78571428571428503</v>
      </c>
      <c r="AB5" s="19">
        <v>0.75</v>
      </c>
      <c r="AC5" s="25">
        <v>11129</v>
      </c>
    </row>
    <row r="6" spans="1:29" x14ac:dyDescent="0.3">
      <c r="A6" s="18" t="s">
        <v>23</v>
      </c>
      <c r="B6" t="s">
        <v>16</v>
      </c>
      <c r="C6" t="s">
        <v>24</v>
      </c>
      <c r="D6" s="2">
        <v>1</v>
      </c>
      <c r="E6" s="27">
        <v>0.94444444444444398</v>
      </c>
      <c r="F6" s="27">
        <v>1</v>
      </c>
      <c r="G6" s="18">
        <v>13206</v>
      </c>
      <c r="H6" s="25">
        <v>1</v>
      </c>
      <c r="I6" s="2">
        <v>1</v>
      </c>
      <c r="J6" s="27">
        <v>1</v>
      </c>
      <c r="K6" s="3">
        <v>1</v>
      </c>
      <c r="L6" s="25">
        <v>10926</v>
      </c>
      <c r="M6" s="2">
        <v>1</v>
      </c>
      <c r="N6" s="27">
        <v>1</v>
      </c>
      <c r="O6" s="3">
        <v>0.8</v>
      </c>
      <c r="P6">
        <v>15433</v>
      </c>
      <c r="Q6" s="25">
        <v>1</v>
      </c>
      <c r="R6" s="2">
        <v>1</v>
      </c>
      <c r="S6" s="27">
        <v>1</v>
      </c>
      <c r="T6" s="19">
        <v>1</v>
      </c>
      <c r="U6" s="25">
        <v>11617</v>
      </c>
      <c r="V6" s="2">
        <v>0.94117647058823495</v>
      </c>
      <c r="W6" s="27">
        <v>1</v>
      </c>
      <c r="X6" s="19">
        <v>1</v>
      </c>
      <c r="Y6" s="25">
        <v>13670</v>
      </c>
      <c r="Z6" s="2">
        <v>1</v>
      </c>
      <c r="AA6" s="27">
        <v>1</v>
      </c>
      <c r="AB6" s="19">
        <v>1</v>
      </c>
      <c r="AC6" s="25">
        <v>11945</v>
      </c>
    </row>
    <row r="7" spans="1:29" x14ac:dyDescent="0.3">
      <c r="A7" s="20" t="s">
        <v>23</v>
      </c>
      <c r="B7" s="21" t="s">
        <v>16</v>
      </c>
      <c r="C7" s="21" t="s">
        <v>25</v>
      </c>
      <c r="D7" s="4">
        <v>1</v>
      </c>
      <c r="E7" s="5">
        <v>1</v>
      </c>
      <c r="F7" s="5">
        <v>1</v>
      </c>
      <c r="G7" s="20">
        <v>13709</v>
      </c>
      <c r="H7" s="34">
        <v>1</v>
      </c>
      <c r="I7" s="4">
        <v>1</v>
      </c>
      <c r="J7" s="5">
        <v>1</v>
      </c>
      <c r="K7" s="6">
        <v>1</v>
      </c>
      <c r="L7" s="34">
        <v>10360</v>
      </c>
      <c r="M7" s="4">
        <v>1</v>
      </c>
      <c r="N7" s="5">
        <v>0.92</v>
      </c>
      <c r="O7" s="6">
        <v>1</v>
      </c>
      <c r="P7" s="21">
        <v>21275</v>
      </c>
      <c r="Q7" s="34">
        <v>2</v>
      </c>
      <c r="R7" s="4">
        <v>1</v>
      </c>
      <c r="S7" s="5">
        <v>0.83333333333333304</v>
      </c>
      <c r="T7" s="22">
        <v>1</v>
      </c>
      <c r="U7" s="34">
        <v>9958</v>
      </c>
      <c r="V7" s="4">
        <v>1</v>
      </c>
      <c r="W7" s="5">
        <v>1</v>
      </c>
      <c r="X7" s="22">
        <v>1</v>
      </c>
      <c r="Y7" s="34">
        <v>11953</v>
      </c>
      <c r="Z7" s="4">
        <v>1</v>
      </c>
      <c r="AA7" s="5">
        <v>1</v>
      </c>
      <c r="AB7" s="22">
        <v>1</v>
      </c>
      <c r="AC7" s="34">
        <v>12097</v>
      </c>
    </row>
    <row r="8" spans="1:29" x14ac:dyDescent="0.3">
      <c r="A8" s="13" t="s">
        <v>12</v>
      </c>
      <c r="B8" s="11" t="s">
        <v>15</v>
      </c>
      <c r="C8" s="11" t="s">
        <v>26</v>
      </c>
      <c r="D8" s="14">
        <v>1</v>
      </c>
      <c r="E8" s="15">
        <v>1</v>
      </c>
      <c r="F8" s="15">
        <v>1</v>
      </c>
      <c r="G8" s="13">
        <v>13800</v>
      </c>
      <c r="H8" s="12">
        <v>1</v>
      </c>
      <c r="I8" s="14">
        <v>0.91666666666666596</v>
      </c>
      <c r="J8" s="15">
        <v>1</v>
      </c>
      <c r="K8" s="16">
        <v>0.75</v>
      </c>
      <c r="L8" s="12">
        <v>8846</v>
      </c>
      <c r="M8" s="14">
        <v>1</v>
      </c>
      <c r="N8" s="15">
        <v>1</v>
      </c>
      <c r="O8" s="16">
        <v>0.75</v>
      </c>
      <c r="P8" s="11">
        <v>13523</v>
      </c>
      <c r="Q8" s="12">
        <v>1</v>
      </c>
      <c r="R8" s="14">
        <v>1</v>
      </c>
      <c r="S8" s="15">
        <v>1</v>
      </c>
      <c r="T8" s="17">
        <v>1</v>
      </c>
      <c r="U8" s="12">
        <v>9696</v>
      </c>
      <c r="V8" s="14">
        <v>0.91666666666666596</v>
      </c>
      <c r="W8" s="15">
        <v>1</v>
      </c>
      <c r="X8" s="17">
        <v>1</v>
      </c>
      <c r="Y8" s="12">
        <v>9603</v>
      </c>
      <c r="Z8" s="14">
        <v>1</v>
      </c>
      <c r="AA8" s="15">
        <v>0.5625</v>
      </c>
      <c r="AB8" s="17">
        <v>0.5</v>
      </c>
      <c r="AC8" s="12">
        <v>12994</v>
      </c>
    </row>
    <row r="9" spans="1:29" x14ac:dyDescent="0.3">
      <c r="A9" s="18" t="s">
        <v>12</v>
      </c>
      <c r="B9" t="s">
        <v>15</v>
      </c>
      <c r="C9" t="s">
        <v>21</v>
      </c>
      <c r="D9" s="2">
        <v>1</v>
      </c>
      <c r="E9" s="27">
        <v>0.95</v>
      </c>
      <c r="F9" s="27">
        <v>1</v>
      </c>
      <c r="G9" s="18">
        <v>17389</v>
      </c>
      <c r="H9" s="25">
        <v>1</v>
      </c>
      <c r="I9" s="2">
        <v>1</v>
      </c>
      <c r="J9" s="27">
        <v>1</v>
      </c>
      <c r="K9" s="3">
        <v>1</v>
      </c>
      <c r="L9" s="25">
        <v>14124</v>
      </c>
      <c r="M9" s="2">
        <v>1</v>
      </c>
      <c r="N9" s="27">
        <v>0.83333333333333304</v>
      </c>
      <c r="O9" s="3">
        <v>1</v>
      </c>
      <c r="P9">
        <v>19615</v>
      </c>
      <c r="Q9" s="25">
        <v>1</v>
      </c>
      <c r="R9" s="2">
        <v>1</v>
      </c>
      <c r="S9" s="27">
        <v>0.95833333333333304</v>
      </c>
      <c r="T9" s="19">
        <v>1</v>
      </c>
      <c r="U9" s="25">
        <v>11901</v>
      </c>
      <c r="V9" s="2">
        <v>1</v>
      </c>
      <c r="W9" s="27">
        <v>0.96666666666666601</v>
      </c>
      <c r="X9" s="19">
        <v>1</v>
      </c>
      <c r="Y9" s="25">
        <v>12685</v>
      </c>
      <c r="Z9" s="2">
        <v>1</v>
      </c>
      <c r="AA9" s="27">
        <v>1</v>
      </c>
      <c r="AB9" s="19">
        <v>1</v>
      </c>
      <c r="AC9" s="25">
        <v>12933</v>
      </c>
    </row>
    <row r="10" spans="1:29" x14ac:dyDescent="0.3">
      <c r="A10" s="18" t="s">
        <v>12</v>
      </c>
      <c r="B10" t="s">
        <v>15</v>
      </c>
      <c r="C10" t="s">
        <v>22</v>
      </c>
      <c r="D10" s="2">
        <v>1</v>
      </c>
      <c r="E10" s="27">
        <v>1</v>
      </c>
      <c r="F10" s="27">
        <v>1</v>
      </c>
      <c r="G10" s="18">
        <v>16060</v>
      </c>
      <c r="H10" s="25">
        <v>1</v>
      </c>
      <c r="I10" s="2">
        <v>1</v>
      </c>
      <c r="J10" s="27">
        <v>1</v>
      </c>
      <c r="K10" s="3">
        <v>0.75</v>
      </c>
      <c r="L10" s="25">
        <v>10520</v>
      </c>
      <c r="M10" s="2">
        <v>1</v>
      </c>
      <c r="N10" s="27">
        <v>1</v>
      </c>
      <c r="O10" s="3">
        <v>1</v>
      </c>
      <c r="P10">
        <v>15794</v>
      </c>
      <c r="Q10" s="25">
        <v>1</v>
      </c>
      <c r="R10" s="2">
        <v>1</v>
      </c>
      <c r="S10" s="27">
        <v>1</v>
      </c>
      <c r="T10" s="19">
        <v>1</v>
      </c>
      <c r="U10" s="25">
        <v>10610</v>
      </c>
      <c r="V10" s="2">
        <v>1</v>
      </c>
      <c r="W10" s="27">
        <v>1</v>
      </c>
      <c r="X10" s="19">
        <v>1</v>
      </c>
      <c r="Y10" s="25">
        <v>10768</v>
      </c>
      <c r="Z10" s="2">
        <v>1</v>
      </c>
      <c r="AA10" s="27">
        <v>1</v>
      </c>
      <c r="AB10" s="19">
        <v>1</v>
      </c>
      <c r="AC10" s="25">
        <v>10080</v>
      </c>
    </row>
    <row r="11" spans="1:29" x14ac:dyDescent="0.3">
      <c r="A11" s="18" t="s">
        <v>12</v>
      </c>
      <c r="B11" t="s">
        <v>16</v>
      </c>
      <c r="C11" t="s">
        <v>27</v>
      </c>
      <c r="D11" s="2">
        <v>1</v>
      </c>
      <c r="E11" s="27">
        <v>1</v>
      </c>
      <c r="F11" s="27">
        <v>1</v>
      </c>
      <c r="G11" s="18">
        <v>17608</v>
      </c>
      <c r="H11" s="25">
        <v>1</v>
      </c>
      <c r="I11" s="2">
        <v>1</v>
      </c>
      <c r="J11" s="27">
        <v>1</v>
      </c>
      <c r="K11" s="3">
        <v>1</v>
      </c>
      <c r="L11" s="25">
        <v>11456</v>
      </c>
      <c r="M11" s="2">
        <v>1</v>
      </c>
      <c r="N11" s="27">
        <v>1</v>
      </c>
      <c r="O11" s="3">
        <v>0.8</v>
      </c>
      <c r="P11">
        <v>16891</v>
      </c>
      <c r="Q11" s="25">
        <v>1</v>
      </c>
      <c r="R11" s="2">
        <v>1</v>
      </c>
      <c r="S11" s="27">
        <v>1</v>
      </c>
      <c r="T11" s="19">
        <v>1</v>
      </c>
      <c r="U11" s="25">
        <v>16027</v>
      </c>
      <c r="V11" s="2">
        <v>1</v>
      </c>
      <c r="W11" s="27">
        <v>1</v>
      </c>
      <c r="X11" s="19">
        <v>1</v>
      </c>
      <c r="Y11" s="25">
        <v>13270</v>
      </c>
      <c r="Z11" s="2">
        <v>0.94117647058823495</v>
      </c>
      <c r="AA11" s="27">
        <v>0.94736842105263097</v>
      </c>
      <c r="AB11" s="19">
        <v>1</v>
      </c>
      <c r="AC11" s="25">
        <v>12536</v>
      </c>
    </row>
    <row r="12" spans="1:29" x14ac:dyDescent="0.3">
      <c r="A12" s="20" t="s">
        <v>12</v>
      </c>
      <c r="B12" s="21" t="s">
        <v>16</v>
      </c>
      <c r="C12" s="21" t="s">
        <v>28</v>
      </c>
      <c r="D12" s="4">
        <v>1</v>
      </c>
      <c r="E12" s="5">
        <v>0.94736842105263097</v>
      </c>
      <c r="F12" s="5">
        <v>1</v>
      </c>
      <c r="G12" s="20">
        <v>26389</v>
      </c>
      <c r="H12" s="34">
        <v>2</v>
      </c>
      <c r="I12" s="4">
        <v>1</v>
      </c>
      <c r="J12" s="5">
        <v>0.95652173913043403</v>
      </c>
      <c r="K12" s="6">
        <v>0.75</v>
      </c>
      <c r="L12" s="34">
        <v>10454</v>
      </c>
      <c r="M12" s="4">
        <v>1</v>
      </c>
      <c r="N12" s="5">
        <v>0.95</v>
      </c>
      <c r="O12" s="6">
        <v>1</v>
      </c>
      <c r="P12" s="21">
        <v>15280</v>
      </c>
      <c r="Q12" s="34">
        <v>1</v>
      </c>
      <c r="R12" s="4">
        <v>1</v>
      </c>
      <c r="S12" s="5">
        <v>1</v>
      </c>
      <c r="T12" s="22">
        <v>1</v>
      </c>
      <c r="U12" s="34">
        <v>10015</v>
      </c>
      <c r="V12" s="4">
        <v>1</v>
      </c>
      <c r="W12" s="5">
        <v>1</v>
      </c>
      <c r="X12" s="22">
        <v>1</v>
      </c>
      <c r="Y12" s="34">
        <v>11557</v>
      </c>
      <c r="Z12" s="4">
        <v>1</v>
      </c>
      <c r="AA12" s="5">
        <v>1</v>
      </c>
      <c r="AB12" s="22">
        <v>1</v>
      </c>
      <c r="AC12" s="34">
        <v>13320</v>
      </c>
    </row>
    <row r="13" spans="1:29" x14ac:dyDescent="0.3">
      <c r="A13" s="13" t="s">
        <v>29</v>
      </c>
      <c r="B13" s="11" t="s">
        <v>15</v>
      </c>
      <c r="C13" s="11" t="s">
        <v>30</v>
      </c>
      <c r="D13" s="14">
        <v>1</v>
      </c>
      <c r="E13" s="15">
        <v>1</v>
      </c>
      <c r="F13" s="15">
        <v>1</v>
      </c>
      <c r="G13" s="13">
        <v>12921</v>
      </c>
      <c r="H13" s="12">
        <v>1</v>
      </c>
      <c r="I13" s="14">
        <v>1</v>
      </c>
      <c r="J13" s="15">
        <v>1</v>
      </c>
      <c r="K13" s="16">
        <v>1</v>
      </c>
      <c r="L13" s="12">
        <v>9778</v>
      </c>
      <c r="M13" s="14">
        <v>1</v>
      </c>
      <c r="N13" s="15">
        <v>1</v>
      </c>
      <c r="O13" s="16">
        <v>1</v>
      </c>
      <c r="P13" s="11">
        <v>15620</v>
      </c>
      <c r="Q13" s="12">
        <v>1</v>
      </c>
      <c r="R13" s="14">
        <v>1</v>
      </c>
      <c r="S13" s="15">
        <v>1</v>
      </c>
      <c r="T13" s="17">
        <v>0.66666666666666596</v>
      </c>
      <c r="U13" s="12">
        <v>12082</v>
      </c>
      <c r="V13" s="14">
        <v>1</v>
      </c>
      <c r="W13" s="15">
        <v>1</v>
      </c>
      <c r="X13" s="17">
        <v>0</v>
      </c>
      <c r="Y13" s="12">
        <v>11105</v>
      </c>
      <c r="Z13" s="14">
        <v>1</v>
      </c>
      <c r="AA13" s="15">
        <v>1</v>
      </c>
      <c r="AB13" s="17">
        <v>0.4</v>
      </c>
      <c r="AC13" s="12">
        <v>11541</v>
      </c>
    </row>
    <row r="14" spans="1:29" x14ac:dyDescent="0.3">
      <c r="A14" s="18" t="s">
        <v>29</v>
      </c>
      <c r="B14" t="s">
        <v>15</v>
      </c>
      <c r="C14" t="s">
        <v>31</v>
      </c>
      <c r="D14" s="2">
        <v>1</v>
      </c>
      <c r="E14" s="27">
        <v>1</v>
      </c>
      <c r="F14" s="27">
        <v>1</v>
      </c>
      <c r="G14" s="18">
        <v>25681</v>
      </c>
      <c r="H14" s="25">
        <v>2</v>
      </c>
      <c r="I14" s="2">
        <v>1</v>
      </c>
      <c r="J14" s="27">
        <v>1</v>
      </c>
      <c r="K14" s="3">
        <v>1</v>
      </c>
      <c r="L14" s="25">
        <v>9586</v>
      </c>
      <c r="M14" s="2">
        <v>1</v>
      </c>
      <c r="N14" s="27">
        <v>1</v>
      </c>
      <c r="O14" s="3">
        <v>1</v>
      </c>
      <c r="P14">
        <v>15989</v>
      </c>
      <c r="Q14" s="25">
        <v>1</v>
      </c>
      <c r="R14" s="2">
        <v>1</v>
      </c>
      <c r="S14" s="27">
        <v>1</v>
      </c>
      <c r="T14" s="19">
        <v>1</v>
      </c>
      <c r="U14" s="25">
        <v>10980</v>
      </c>
      <c r="V14" s="2">
        <v>1</v>
      </c>
      <c r="W14" s="27">
        <v>1</v>
      </c>
      <c r="X14" s="19">
        <v>1</v>
      </c>
      <c r="Y14" s="25">
        <v>12761</v>
      </c>
      <c r="Z14" s="2">
        <v>1</v>
      </c>
      <c r="AA14" s="27">
        <v>0.94117647058823495</v>
      </c>
      <c r="AB14" s="19">
        <v>1</v>
      </c>
      <c r="AC14" s="25">
        <v>10991</v>
      </c>
    </row>
    <row r="15" spans="1:29" x14ac:dyDescent="0.3">
      <c r="A15" s="18" t="s">
        <v>29</v>
      </c>
      <c r="B15" t="s">
        <v>15</v>
      </c>
      <c r="C15" t="s">
        <v>32</v>
      </c>
      <c r="D15" s="2">
        <v>1</v>
      </c>
      <c r="E15" s="27">
        <v>1</v>
      </c>
      <c r="F15" s="27">
        <v>1</v>
      </c>
      <c r="G15" s="18">
        <v>23739</v>
      </c>
      <c r="H15" s="25">
        <v>2</v>
      </c>
      <c r="I15" s="2">
        <v>1</v>
      </c>
      <c r="J15" s="27">
        <v>1</v>
      </c>
      <c r="K15" s="3">
        <v>1</v>
      </c>
      <c r="L15" s="25">
        <v>11563</v>
      </c>
      <c r="M15" s="2">
        <v>1</v>
      </c>
      <c r="N15" s="27">
        <v>1</v>
      </c>
      <c r="O15" s="3">
        <v>0.72727272727272696</v>
      </c>
      <c r="P15">
        <v>18430</v>
      </c>
      <c r="Q15" s="25">
        <v>1</v>
      </c>
      <c r="R15" s="2">
        <v>1</v>
      </c>
      <c r="S15" s="27">
        <v>1</v>
      </c>
      <c r="T15" s="19">
        <v>1</v>
      </c>
      <c r="U15" s="25">
        <v>11137</v>
      </c>
      <c r="V15" s="2">
        <v>1</v>
      </c>
      <c r="W15" s="27">
        <v>1</v>
      </c>
      <c r="X15" s="19">
        <v>1</v>
      </c>
      <c r="Y15" s="25">
        <v>12716</v>
      </c>
      <c r="Z15" s="2">
        <v>1</v>
      </c>
      <c r="AA15" s="27">
        <v>1</v>
      </c>
      <c r="AB15" s="19">
        <v>0.83333333333333304</v>
      </c>
      <c r="AC15" s="25">
        <v>13405</v>
      </c>
    </row>
    <row r="16" spans="1:29" x14ac:dyDescent="0.3">
      <c r="A16" s="18" t="s">
        <v>29</v>
      </c>
      <c r="B16" t="s">
        <v>16</v>
      </c>
      <c r="C16" t="s">
        <v>33</v>
      </c>
      <c r="D16" s="2">
        <v>1</v>
      </c>
      <c r="E16" s="27">
        <v>1</v>
      </c>
      <c r="F16" s="27">
        <v>1</v>
      </c>
      <c r="G16" s="18">
        <v>12286</v>
      </c>
      <c r="H16" s="25">
        <v>1</v>
      </c>
      <c r="I16" s="2">
        <v>0.8</v>
      </c>
      <c r="J16" s="27">
        <v>0.88888888888888795</v>
      </c>
      <c r="K16" s="3">
        <v>1</v>
      </c>
      <c r="L16" s="25">
        <v>7657</v>
      </c>
      <c r="M16" s="2">
        <v>0.90909090909090895</v>
      </c>
      <c r="N16" s="27">
        <v>1</v>
      </c>
      <c r="O16" s="3">
        <v>0.75</v>
      </c>
      <c r="P16">
        <v>19745</v>
      </c>
      <c r="Q16" s="25">
        <v>2</v>
      </c>
      <c r="R16" s="2">
        <v>1</v>
      </c>
      <c r="S16" s="27">
        <v>1</v>
      </c>
      <c r="T16" s="19">
        <v>1</v>
      </c>
      <c r="U16" s="25">
        <v>9236</v>
      </c>
      <c r="V16" s="2">
        <v>1</v>
      </c>
      <c r="W16" s="27">
        <v>1</v>
      </c>
      <c r="X16" s="19">
        <v>1</v>
      </c>
      <c r="Y16" s="25">
        <v>11368</v>
      </c>
      <c r="Z16" s="2">
        <v>1</v>
      </c>
      <c r="AA16" s="27">
        <v>0.94117647058823495</v>
      </c>
      <c r="AB16" s="19">
        <v>1</v>
      </c>
      <c r="AC16" s="25">
        <v>10431</v>
      </c>
    </row>
    <row r="17" spans="1:29" x14ac:dyDescent="0.3">
      <c r="A17" s="20" t="s">
        <v>29</v>
      </c>
      <c r="B17" s="21" t="s">
        <v>16</v>
      </c>
      <c r="C17" s="21" t="s">
        <v>34</v>
      </c>
      <c r="D17" s="4">
        <v>1</v>
      </c>
      <c r="E17" s="5">
        <v>1</v>
      </c>
      <c r="F17" s="5">
        <v>1</v>
      </c>
      <c r="G17" s="20">
        <v>14865</v>
      </c>
      <c r="H17" s="34">
        <v>1</v>
      </c>
      <c r="I17" s="4">
        <v>1</v>
      </c>
      <c r="J17" s="5">
        <v>0.95454545454545403</v>
      </c>
      <c r="K17" s="6">
        <v>1</v>
      </c>
      <c r="L17" s="34">
        <v>10115</v>
      </c>
      <c r="M17" s="4">
        <v>0.94117647058823495</v>
      </c>
      <c r="N17" s="5">
        <v>0.952380952380952</v>
      </c>
      <c r="O17" s="6">
        <v>1</v>
      </c>
      <c r="P17" s="21">
        <v>12597</v>
      </c>
      <c r="Q17" s="34">
        <v>1</v>
      </c>
      <c r="R17" s="4">
        <v>1</v>
      </c>
      <c r="S17" s="5">
        <v>1</v>
      </c>
      <c r="T17" s="22">
        <v>1</v>
      </c>
      <c r="U17" s="34">
        <v>9107</v>
      </c>
      <c r="V17" s="4">
        <v>1</v>
      </c>
      <c r="W17" s="5">
        <v>1</v>
      </c>
      <c r="X17" s="22">
        <v>1</v>
      </c>
      <c r="Y17" s="34">
        <v>11539</v>
      </c>
      <c r="Z17" s="4">
        <v>1</v>
      </c>
      <c r="AA17" s="5">
        <v>1</v>
      </c>
      <c r="AB17" s="22">
        <v>1</v>
      </c>
      <c r="AC17" s="34">
        <v>12026</v>
      </c>
    </row>
    <row r="18" spans="1:29" x14ac:dyDescent="0.3">
      <c r="A18" s="13" t="s">
        <v>13</v>
      </c>
      <c r="B18" s="11" t="s">
        <v>15</v>
      </c>
      <c r="C18" s="11" t="s">
        <v>35</v>
      </c>
      <c r="D18" s="14">
        <v>1</v>
      </c>
      <c r="E18" s="15">
        <v>1</v>
      </c>
      <c r="F18" s="15">
        <v>1</v>
      </c>
      <c r="G18" s="13">
        <v>12275</v>
      </c>
      <c r="H18" s="12">
        <v>1</v>
      </c>
      <c r="I18" s="14">
        <v>1</v>
      </c>
      <c r="J18" s="15">
        <v>0.90909090909090895</v>
      </c>
      <c r="K18" s="16">
        <v>1</v>
      </c>
      <c r="L18" s="12">
        <v>8925</v>
      </c>
      <c r="M18" s="14">
        <v>1</v>
      </c>
      <c r="N18" s="15">
        <v>0.92307692307692302</v>
      </c>
      <c r="O18" s="16">
        <v>1</v>
      </c>
      <c r="P18" s="11">
        <v>12593</v>
      </c>
      <c r="Q18" s="12">
        <v>1</v>
      </c>
      <c r="R18" s="14">
        <v>1</v>
      </c>
      <c r="S18" s="15">
        <v>1</v>
      </c>
      <c r="T18" s="17">
        <v>1</v>
      </c>
      <c r="U18" s="12">
        <v>11146</v>
      </c>
      <c r="V18" s="14">
        <v>1</v>
      </c>
      <c r="W18" s="15">
        <v>1</v>
      </c>
      <c r="X18" s="17">
        <v>1</v>
      </c>
      <c r="Y18" s="12">
        <v>11270</v>
      </c>
      <c r="Z18" s="14">
        <v>1</v>
      </c>
      <c r="AA18" s="15">
        <v>0.92857142857142805</v>
      </c>
      <c r="AB18" s="17">
        <v>1</v>
      </c>
      <c r="AC18" s="12">
        <v>11520</v>
      </c>
    </row>
    <row r="19" spans="1:29" x14ac:dyDescent="0.3">
      <c r="A19" s="18" t="s">
        <v>13</v>
      </c>
      <c r="B19" t="s">
        <v>15</v>
      </c>
      <c r="C19" t="s">
        <v>36</v>
      </c>
      <c r="D19" s="2">
        <v>0.9375</v>
      </c>
      <c r="E19" s="27">
        <v>0.94117647058823495</v>
      </c>
      <c r="F19" s="27">
        <v>1</v>
      </c>
      <c r="G19" s="18">
        <v>19259</v>
      </c>
      <c r="H19" s="25">
        <v>2</v>
      </c>
      <c r="I19" s="2">
        <v>1</v>
      </c>
      <c r="J19" s="27">
        <v>0.64285714285714202</v>
      </c>
      <c r="K19" s="3">
        <v>1</v>
      </c>
      <c r="L19" s="25">
        <v>7462</v>
      </c>
      <c r="M19" s="2">
        <v>0.8</v>
      </c>
      <c r="N19" s="27">
        <v>1</v>
      </c>
      <c r="O19" s="3">
        <v>1</v>
      </c>
      <c r="P19">
        <v>13229</v>
      </c>
      <c r="Q19" s="25">
        <v>1</v>
      </c>
      <c r="R19" s="2">
        <v>1</v>
      </c>
      <c r="S19" s="27">
        <v>1</v>
      </c>
      <c r="T19" s="19">
        <v>1</v>
      </c>
      <c r="U19" s="25">
        <v>7916</v>
      </c>
      <c r="V19" s="2">
        <v>1</v>
      </c>
      <c r="W19" s="27">
        <v>1</v>
      </c>
      <c r="X19" s="19">
        <v>1</v>
      </c>
      <c r="Y19" s="25">
        <v>8714</v>
      </c>
      <c r="Z19" s="2">
        <v>0.8</v>
      </c>
      <c r="AA19" s="27">
        <v>1</v>
      </c>
      <c r="AB19" s="19">
        <v>1</v>
      </c>
      <c r="AC19" s="25">
        <v>10540</v>
      </c>
    </row>
    <row r="20" spans="1:29" x14ac:dyDescent="0.3">
      <c r="A20" s="18" t="s">
        <v>13</v>
      </c>
      <c r="B20" t="s">
        <v>15</v>
      </c>
      <c r="C20" t="s">
        <v>37</v>
      </c>
      <c r="D20" s="2">
        <v>0.91666666666666596</v>
      </c>
      <c r="E20" s="27">
        <v>1</v>
      </c>
      <c r="F20" s="27">
        <v>0.75</v>
      </c>
      <c r="G20" s="18">
        <v>13615</v>
      </c>
      <c r="H20" s="25">
        <v>1</v>
      </c>
      <c r="I20" s="2">
        <v>1</v>
      </c>
      <c r="J20" s="27">
        <v>1</v>
      </c>
      <c r="K20" s="3">
        <v>0.66666666666666596</v>
      </c>
      <c r="L20" s="25">
        <v>8820</v>
      </c>
      <c r="M20" s="2">
        <v>1</v>
      </c>
      <c r="N20" s="27">
        <v>1</v>
      </c>
      <c r="O20" s="3">
        <v>0.66666666666666596</v>
      </c>
      <c r="P20">
        <v>13562</v>
      </c>
      <c r="Q20" s="25">
        <v>1</v>
      </c>
      <c r="R20" s="2">
        <v>1</v>
      </c>
      <c r="S20" s="27">
        <v>1</v>
      </c>
      <c r="T20" s="19">
        <v>1</v>
      </c>
      <c r="U20" s="25">
        <v>9736</v>
      </c>
      <c r="V20" s="2">
        <v>1</v>
      </c>
      <c r="W20" s="27">
        <v>0.91666666666666596</v>
      </c>
      <c r="X20" s="19">
        <v>1</v>
      </c>
      <c r="Y20" s="25">
        <v>10988</v>
      </c>
      <c r="Z20" s="2">
        <v>1</v>
      </c>
      <c r="AA20" s="27">
        <v>1</v>
      </c>
      <c r="AB20" s="19">
        <v>1</v>
      </c>
      <c r="AC20" s="25">
        <v>10883</v>
      </c>
    </row>
    <row r="21" spans="1:29" x14ac:dyDescent="0.3">
      <c r="A21" s="18" t="s">
        <v>13</v>
      </c>
      <c r="B21" t="s">
        <v>16</v>
      </c>
      <c r="C21" t="s">
        <v>38</v>
      </c>
      <c r="D21" s="2">
        <v>0.94444444444444398</v>
      </c>
      <c r="E21" s="27">
        <v>1</v>
      </c>
      <c r="F21" s="27">
        <v>1</v>
      </c>
      <c r="G21" s="18">
        <v>13440</v>
      </c>
      <c r="H21" s="25">
        <v>1</v>
      </c>
      <c r="I21" s="2">
        <v>1</v>
      </c>
      <c r="J21" s="27">
        <v>1</v>
      </c>
      <c r="K21" s="3">
        <v>1</v>
      </c>
      <c r="L21" s="25">
        <v>10773</v>
      </c>
      <c r="M21" s="2">
        <v>1</v>
      </c>
      <c r="N21" s="27">
        <v>1</v>
      </c>
      <c r="O21" s="3">
        <v>1</v>
      </c>
      <c r="P21">
        <v>13796</v>
      </c>
      <c r="Q21" s="25">
        <v>1</v>
      </c>
      <c r="R21" s="2">
        <v>0.90909090909090895</v>
      </c>
      <c r="S21" s="27">
        <v>1</v>
      </c>
      <c r="T21" s="19">
        <v>1</v>
      </c>
      <c r="U21" s="25">
        <v>11661</v>
      </c>
      <c r="V21" s="2">
        <v>1</v>
      </c>
      <c r="W21" s="27">
        <v>1</v>
      </c>
      <c r="X21" s="19">
        <v>1</v>
      </c>
      <c r="Y21" s="25">
        <v>12074</v>
      </c>
      <c r="Z21" s="2">
        <v>0.86666666666666603</v>
      </c>
      <c r="AA21" s="27">
        <v>1</v>
      </c>
      <c r="AB21" s="19">
        <v>1</v>
      </c>
      <c r="AC21" s="25">
        <v>11693</v>
      </c>
    </row>
    <row r="22" spans="1:29" x14ac:dyDescent="0.3">
      <c r="A22" s="20" t="s">
        <v>13</v>
      </c>
      <c r="B22" s="21" t="s">
        <v>16</v>
      </c>
      <c r="C22" s="21" t="s">
        <v>39</v>
      </c>
      <c r="D22" s="4">
        <v>1</v>
      </c>
      <c r="E22" s="5">
        <v>1</v>
      </c>
      <c r="F22" s="5">
        <v>1</v>
      </c>
      <c r="G22" s="20">
        <v>18272</v>
      </c>
      <c r="H22" s="34">
        <v>1</v>
      </c>
      <c r="I22" s="4">
        <v>1</v>
      </c>
      <c r="J22" s="5">
        <v>1</v>
      </c>
      <c r="K22" s="6">
        <v>0.8</v>
      </c>
      <c r="L22" s="34">
        <v>11688</v>
      </c>
      <c r="M22" s="4">
        <v>1</v>
      </c>
      <c r="N22" s="5">
        <v>1</v>
      </c>
      <c r="O22" s="6">
        <v>1</v>
      </c>
      <c r="P22" s="21">
        <v>15634</v>
      </c>
      <c r="Q22" s="34">
        <v>1</v>
      </c>
      <c r="R22" s="4">
        <v>0.93333333333333302</v>
      </c>
      <c r="S22" s="5">
        <v>1</v>
      </c>
      <c r="T22" s="22">
        <v>1</v>
      </c>
      <c r="U22" s="34">
        <v>13004</v>
      </c>
      <c r="V22" s="4">
        <v>1</v>
      </c>
      <c r="W22" s="5">
        <v>0.88888888888888795</v>
      </c>
      <c r="X22" s="22">
        <v>1</v>
      </c>
      <c r="Y22" s="34">
        <v>13103</v>
      </c>
      <c r="Z22" s="4">
        <v>1</v>
      </c>
      <c r="AA22" s="5">
        <v>1</v>
      </c>
      <c r="AB22" s="22">
        <v>1</v>
      </c>
      <c r="AC22" s="34">
        <v>13019</v>
      </c>
    </row>
    <row r="23" spans="1:29" x14ac:dyDescent="0.3">
      <c r="A23" s="13" t="s">
        <v>14</v>
      </c>
      <c r="B23" s="11" t="s">
        <v>17</v>
      </c>
      <c r="C23" s="11" t="s">
        <v>40</v>
      </c>
      <c r="D23" s="14">
        <v>1</v>
      </c>
      <c r="E23" s="15">
        <v>1</v>
      </c>
      <c r="F23" s="15">
        <v>1</v>
      </c>
      <c r="G23" s="18">
        <v>24554</v>
      </c>
      <c r="H23" s="25">
        <v>2</v>
      </c>
      <c r="I23" s="14">
        <v>1</v>
      </c>
      <c r="J23" s="15">
        <v>1</v>
      </c>
      <c r="K23" s="16">
        <v>1</v>
      </c>
      <c r="L23" s="25">
        <v>11381</v>
      </c>
      <c r="M23" s="14">
        <v>1</v>
      </c>
      <c r="N23" s="15">
        <v>1</v>
      </c>
      <c r="O23" s="16">
        <v>1</v>
      </c>
      <c r="P23">
        <v>17382</v>
      </c>
      <c r="Q23" s="25">
        <v>1</v>
      </c>
      <c r="R23" s="14">
        <v>1</v>
      </c>
      <c r="S23" s="15">
        <v>1</v>
      </c>
      <c r="T23" s="17">
        <v>1</v>
      </c>
      <c r="U23" s="25">
        <v>12326</v>
      </c>
      <c r="V23" s="14">
        <v>1</v>
      </c>
      <c r="W23" s="15">
        <v>1</v>
      </c>
      <c r="X23" s="17">
        <v>1</v>
      </c>
      <c r="Y23" s="25">
        <v>14817</v>
      </c>
      <c r="Z23" s="14">
        <v>1</v>
      </c>
      <c r="AA23" s="15">
        <v>1</v>
      </c>
      <c r="AB23" s="17">
        <v>1</v>
      </c>
      <c r="AC23" s="25">
        <v>13156</v>
      </c>
    </row>
    <row r="24" spans="1:29" x14ac:dyDescent="0.3">
      <c r="A24" s="18" t="s">
        <v>14</v>
      </c>
      <c r="B24" t="s">
        <v>17</v>
      </c>
      <c r="C24" t="s">
        <v>41</v>
      </c>
      <c r="D24" s="2">
        <v>0.86666666666666603</v>
      </c>
      <c r="E24" s="27">
        <v>0.95</v>
      </c>
      <c r="F24" s="27">
        <v>1</v>
      </c>
      <c r="G24" s="18">
        <v>15578</v>
      </c>
      <c r="H24" s="25">
        <v>1</v>
      </c>
      <c r="I24" s="2">
        <v>1</v>
      </c>
      <c r="J24" s="27">
        <v>1</v>
      </c>
      <c r="K24" s="3">
        <v>1</v>
      </c>
      <c r="L24" s="25">
        <v>11651</v>
      </c>
      <c r="M24" s="2">
        <v>1</v>
      </c>
      <c r="N24" s="27">
        <v>1</v>
      </c>
      <c r="O24" s="3">
        <v>1</v>
      </c>
      <c r="P24">
        <v>18017</v>
      </c>
      <c r="Q24" s="25">
        <v>1</v>
      </c>
      <c r="R24" s="2">
        <v>1</v>
      </c>
      <c r="S24" s="27">
        <v>0.95454545454545403</v>
      </c>
      <c r="T24" s="19">
        <v>1</v>
      </c>
      <c r="U24" s="25">
        <v>11941</v>
      </c>
      <c r="V24" s="2">
        <v>1</v>
      </c>
      <c r="W24" s="27">
        <v>0.952380952380952</v>
      </c>
      <c r="X24" s="19">
        <v>1</v>
      </c>
      <c r="Y24" s="25">
        <v>15939</v>
      </c>
      <c r="Z24" s="2">
        <v>0.94736842105263097</v>
      </c>
      <c r="AA24" s="27">
        <v>1</v>
      </c>
      <c r="AB24" s="19">
        <v>1</v>
      </c>
      <c r="AC24" s="25">
        <v>13296</v>
      </c>
    </row>
    <row r="25" spans="1:29" x14ac:dyDescent="0.3">
      <c r="A25" s="18" t="s">
        <v>14</v>
      </c>
      <c r="B25" t="s">
        <v>17</v>
      </c>
      <c r="C25" t="s">
        <v>42</v>
      </c>
      <c r="D25" s="2">
        <v>1</v>
      </c>
      <c r="E25" s="27">
        <v>0.94736842105263097</v>
      </c>
      <c r="F25" s="27">
        <v>1</v>
      </c>
      <c r="G25" s="18">
        <v>18393</v>
      </c>
      <c r="H25" s="25">
        <v>1</v>
      </c>
      <c r="I25" s="2">
        <v>1</v>
      </c>
      <c r="J25" s="27">
        <v>1</v>
      </c>
      <c r="K25" s="3">
        <v>1</v>
      </c>
      <c r="L25" s="25">
        <v>11710</v>
      </c>
      <c r="M25" s="2">
        <v>1</v>
      </c>
      <c r="N25" s="27">
        <v>1</v>
      </c>
      <c r="O25" s="3">
        <v>1</v>
      </c>
      <c r="P25">
        <v>30484</v>
      </c>
      <c r="Q25" s="25">
        <v>2</v>
      </c>
      <c r="R25" s="2">
        <v>1</v>
      </c>
      <c r="S25" s="27">
        <v>1</v>
      </c>
      <c r="T25" s="19">
        <v>1</v>
      </c>
      <c r="U25" s="25">
        <v>11743</v>
      </c>
      <c r="V25" s="2">
        <v>1</v>
      </c>
      <c r="W25" s="27">
        <v>1</v>
      </c>
      <c r="X25" s="19">
        <v>1</v>
      </c>
      <c r="Y25" s="25">
        <v>14297</v>
      </c>
      <c r="Z25" s="2">
        <v>1</v>
      </c>
      <c r="AA25" s="27">
        <v>1</v>
      </c>
      <c r="AB25" s="19">
        <v>1</v>
      </c>
      <c r="AC25" s="25">
        <v>14864</v>
      </c>
    </row>
    <row r="26" spans="1:29" x14ac:dyDescent="0.3">
      <c r="A26" s="18" t="s">
        <v>14</v>
      </c>
      <c r="B26" t="s">
        <v>17</v>
      </c>
      <c r="C26" t="s">
        <v>43</v>
      </c>
      <c r="D26" s="2">
        <v>1</v>
      </c>
      <c r="E26" s="27">
        <v>1</v>
      </c>
      <c r="F26" s="27">
        <v>1</v>
      </c>
      <c r="G26" s="18">
        <v>18983</v>
      </c>
      <c r="H26" s="25">
        <v>1</v>
      </c>
      <c r="I26" s="2">
        <v>1</v>
      </c>
      <c r="J26" s="27">
        <v>1</v>
      </c>
      <c r="K26" s="3">
        <v>1</v>
      </c>
      <c r="L26" s="25">
        <v>10891</v>
      </c>
      <c r="M26" s="2">
        <v>1</v>
      </c>
      <c r="N26" s="27">
        <v>1</v>
      </c>
      <c r="O26" s="3">
        <v>0.85714285714285698</v>
      </c>
      <c r="P26">
        <v>20151</v>
      </c>
      <c r="Q26" s="25">
        <v>1</v>
      </c>
      <c r="R26" s="2">
        <v>1</v>
      </c>
      <c r="S26" s="27">
        <v>1</v>
      </c>
      <c r="T26" s="19">
        <v>1</v>
      </c>
      <c r="U26" s="25">
        <v>13002</v>
      </c>
      <c r="V26" s="2">
        <v>1</v>
      </c>
      <c r="W26" s="27">
        <v>0.96</v>
      </c>
      <c r="X26" s="19">
        <v>1</v>
      </c>
      <c r="Y26" s="25">
        <v>15466</v>
      </c>
      <c r="Z26" s="2">
        <v>1</v>
      </c>
      <c r="AA26" s="27">
        <v>1</v>
      </c>
      <c r="AB26" s="19">
        <v>1</v>
      </c>
      <c r="AC26" s="25">
        <v>13711</v>
      </c>
    </row>
    <row r="27" spans="1:29" x14ac:dyDescent="0.3">
      <c r="A27" s="20" t="s">
        <v>14</v>
      </c>
      <c r="B27" s="21" t="s">
        <v>17</v>
      </c>
      <c r="C27" s="21" t="s">
        <v>44</v>
      </c>
      <c r="D27" s="4">
        <v>0.86666666666666603</v>
      </c>
      <c r="E27" s="5">
        <v>1</v>
      </c>
      <c r="F27" s="5">
        <v>1</v>
      </c>
      <c r="G27" s="18">
        <v>17457</v>
      </c>
      <c r="H27" s="25">
        <v>1</v>
      </c>
      <c r="I27" s="4">
        <v>1</v>
      </c>
      <c r="J27" s="5">
        <v>0.952380952380952</v>
      </c>
      <c r="K27" s="6">
        <v>1</v>
      </c>
      <c r="L27" s="25">
        <v>12779</v>
      </c>
      <c r="M27" s="4">
        <v>1</v>
      </c>
      <c r="N27" s="5">
        <v>1</v>
      </c>
      <c r="O27" s="6">
        <v>1</v>
      </c>
      <c r="P27">
        <v>17201</v>
      </c>
      <c r="Q27" s="25">
        <v>1</v>
      </c>
      <c r="R27" s="4">
        <v>1</v>
      </c>
      <c r="S27" s="5">
        <v>0.90909090909090895</v>
      </c>
      <c r="T27" s="22">
        <v>1</v>
      </c>
      <c r="U27" s="25">
        <v>12517</v>
      </c>
      <c r="V27" s="4">
        <v>0.94444444444444398</v>
      </c>
      <c r="W27" s="5">
        <v>1</v>
      </c>
      <c r="X27" s="22">
        <v>1</v>
      </c>
      <c r="Y27" s="25">
        <v>14952</v>
      </c>
      <c r="Z27" s="4">
        <v>1</v>
      </c>
      <c r="AA27" s="5">
        <v>0.95454545454545403</v>
      </c>
      <c r="AB27" s="22">
        <v>1</v>
      </c>
      <c r="AC27" s="25">
        <v>15121</v>
      </c>
    </row>
    <row r="28" spans="1:29" ht="15" thickBot="1" x14ac:dyDescent="0.35">
      <c r="C28" s="13" t="s">
        <v>50</v>
      </c>
      <c r="D28" s="7">
        <f>AVERAGE(D3:D27)</f>
        <v>0.97204700854700843</v>
      </c>
      <c r="E28" s="8">
        <f t="shared" ref="E28" si="0">AVERAGE(E3:E27)</f>
        <v>0.98721431028551765</v>
      </c>
      <c r="F28" s="8">
        <f>AVERAGE(F3:F27)</f>
        <v>0.96666666666666656</v>
      </c>
      <c r="G28" s="33">
        <f>AVERAGE(G3:G27)</f>
        <v>16870.72</v>
      </c>
      <c r="H28" s="26">
        <f>COUNTIF(H3:H27,2)</f>
        <v>6</v>
      </c>
      <c r="I28" s="7">
        <f t="shared" ref="I28:P28" si="1">AVERAGE(I3:I27)</f>
        <v>0.98533333333333328</v>
      </c>
      <c r="J28" s="8">
        <f t="shared" si="1"/>
        <v>0.96231846229928053</v>
      </c>
      <c r="K28" s="9">
        <f t="shared" si="1"/>
        <v>0.90866666666666662</v>
      </c>
      <c r="L28" s="33">
        <f t="shared" si="1"/>
        <v>10250.719999999999</v>
      </c>
      <c r="M28" s="7">
        <f t="shared" si="1"/>
        <v>0.98601069518716566</v>
      </c>
      <c r="N28" s="8">
        <f t="shared" si="1"/>
        <v>0.98141251791686568</v>
      </c>
      <c r="O28" s="9">
        <f t="shared" si="1"/>
        <v>0.88470995670995667</v>
      </c>
      <c r="P28" s="33">
        <f t="shared" si="1"/>
        <v>16484.48</v>
      </c>
      <c r="Q28" s="26">
        <f>COUNTIF(Q3:Q27,2)</f>
        <v>3</v>
      </c>
      <c r="R28" s="7">
        <f>AVERAGE(R3:R27)</f>
        <v>0.99103030303030304</v>
      </c>
      <c r="S28" s="8">
        <f>AVERAGE(S3:S27)</f>
        <v>0.98063519813519806</v>
      </c>
      <c r="T28" s="9">
        <f>AVERAGE(T3:T27)</f>
        <v>0.97333333333333327</v>
      </c>
      <c r="U28" s="33">
        <f>AVERAGE(U3:U27)</f>
        <v>10966.28</v>
      </c>
      <c r="V28" s="7">
        <f>AVERAGE(V3:V27)</f>
        <v>0.98959150326797385</v>
      </c>
      <c r="W28" s="8">
        <f>AVERAGE(W3:W27)</f>
        <v>0.98738412698412692</v>
      </c>
      <c r="X28" s="9">
        <f>AVERAGE(X3:X27)</f>
        <v>0.92</v>
      </c>
      <c r="Y28" s="33">
        <f>AVERAGE(Y3:Y27)</f>
        <v>12224.56</v>
      </c>
      <c r="Z28" s="7">
        <f>AVERAGE(Z3:Z27)</f>
        <v>0.9822084623323013</v>
      </c>
      <c r="AA28" s="8">
        <f>AVERAGE(AA3:AA27)</f>
        <v>0.96244210124241081</v>
      </c>
      <c r="AB28" s="9">
        <f>AVERAGE(AB3:AB27)</f>
        <v>0.91266666666666663</v>
      </c>
      <c r="AC28" s="33">
        <f>AVERAGE(AC3:AC27)</f>
        <v>12087.56</v>
      </c>
    </row>
    <row r="29" spans="1:29" x14ac:dyDescent="0.3">
      <c r="C29" s="18" t="s">
        <v>48</v>
      </c>
      <c r="D29" s="28">
        <f>25-COUNTIF(D3:D27,1)</f>
        <v>6</v>
      </c>
      <c r="E29" s="29">
        <f t="shared" ref="E29:F29" si="2">25-COUNTIF(E3:E27,1)</f>
        <v>6</v>
      </c>
      <c r="F29" s="30">
        <f t="shared" si="2"/>
        <v>3</v>
      </c>
      <c r="I29" s="28">
        <f>25-COUNTIF(I3:I27,1)</f>
        <v>3</v>
      </c>
      <c r="J29" s="29">
        <f t="shared" ref="J29:K29" si="3">25-COUNTIF(J3:J27,1)</f>
        <v>8</v>
      </c>
      <c r="K29" s="30">
        <f t="shared" si="3"/>
        <v>8</v>
      </c>
      <c r="M29" s="28">
        <f>25-COUNTIF(M3:M27,1)</f>
        <v>3</v>
      </c>
      <c r="N29" s="29">
        <f t="shared" ref="N29:O29" si="4">25-COUNTIF(N3:N27,1)</f>
        <v>6</v>
      </c>
      <c r="O29" s="30">
        <f t="shared" si="4"/>
        <v>10</v>
      </c>
      <c r="R29" s="28">
        <f>25-COUNTIF(R3:R27,1)</f>
        <v>3</v>
      </c>
      <c r="S29" s="29">
        <f t="shared" ref="S29:T29" si="5">25-COUNTIF(S3:S27,1)</f>
        <v>6</v>
      </c>
      <c r="T29" s="30">
        <f t="shared" si="5"/>
        <v>2</v>
      </c>
      <c r="V29" s="28">
        <f>25-COUNTIF(V3:V27,1)</f>
        <v>4</v>
      </c>
      <c r="W29" s="29">
        <f t="shared" ref="W29:X29" si="6">25-COUNTIF(W3:W27,1)</f>
        <v>5</v>
      </c>
      <c r="X29" s="30">
        <f t="shared" si="6"/>
        <v>3</v>
      </c>
      <c r="Z29" s="28">
        <f>25-COUNTIF(Z3:Z27,1)</f>
        <v>4</v>
      </c>
      <c r="AA29" s="29">
        <f t="shared" ref="AA29:AB29" si="7">25-COUNTIF(AA3:AA27,1)</f>
        <v>7</v>
      </c>
      <c r="AB29" s="30">
        <f t="shared" si="7"/>
        <v>5</v>
      </c>
    </row>
    <row r="30" spans="1:29" x14ac:dyDescent="0.3">
      <c r="C30" s="20" t="s">
        <v>49</v>
      </c>
      <c r="D30" s="35">
        <f>AVERAGE(D29:F29)</f>
        <v>5</v>
      </c>
      <c r="E30" s="36"/>
      <c r="F30" s="37"/>
      <c r="I30" s="35">
        <f>AVERAGE(I29:K29)</f>
        <v>6.333333333333333</v>
      </c>
      <c r="J30" s="36"/>
      <c r="K30" s="37"/>
      <c r="M30" s="35">
        <f>AVERAGE(M29:O29)</f>
        <v>6.333333333333333</v>
      </c>
      <c r="N30" s="36"/>
      <c r="O30" s="37"/>
      <c r="R30" s="35">
        <f>AVERAGE(R29:T29)</f>
        <v>3.6666666666666665</v>
      </c>
      <c r="S30" s="36"/>
      <c r="T30" s="37"/>
      <c r="V30" s="35">
        <f>AVERAGE(V29:X29)</f>
        <v>4</v>
      </c>
      <c r="W30" s="36"/>
      <c r="X30" s="37"/>
      <c r="Z30" s="35">
        <f>AVERAGE(Z29:AB29)</f>
        <v>5.333333333333333</v>
      </c>
      <c r="AA30" s="36"/>
      <c r="AB30" s="37"/>
    </row>
    <row r="31" spans="1:29" x14ac:dyDescent="0.3">
      <c r="G31">
        <f>SUM(G3:G27)</f>
        <v>421768</v>
      </c>
      <c r="L31">
        <f>SUM(L3:L27)</f>
        <v>256268</v>
      </c>
      <c r="P31">
        <f>SUM(P3:P27)</f>
        <v>412112</v>
      </c>
      <c r="U31">
        <f>SUM(U3:U27)</f>
        <v>274157</v>
      </c>
      <c r="Y31">
        <f>SUM(Y3:Y27)</f>
        <v>305614</v>
      </c>
      <c r="AC31">
        <f>SUM(AC3:AC27)</f>
        <v>302189</v>
      </c>
    </row>
  </sheetData>
  <mergeCells count="12">
    <mergeCell ref="V1:Y1"/>
    <mergeCell ref="V30:X30"/>
    <mergeCell ref="Z1:AC1"/>
    <mergeCell ref="Z30:AB30"/>
    <mergeCell ref="M30:O30"/>
    <mergeCell ref="I30:K30"/>
    <mergeCell ref="R30:T30"/>
    <mergeCell ref="D1:H1"/>
    <mergeCell ref="I1:L1"/>
    <mergeCell ref="M1:Q1"/>
    <mergeCell ref="R1:U1"/>
    <mergeCell ref="D30:F30"/>
  </mergeCells>
  <conditionalFormatting sqref="G3:G27 L3:L27 P3:P27 U3:U27">
    <cfRule type="colorScale" priority="22">
      <colorScale>
        <cfvo type="min"/>
        <cfvo type="max"/>
        <color rgb="FFFCFCFF"/>
        <color rgb="FFF8696B"/>
      </colorScale>
    </cfRule>
  </conditionalFormatting>
  <conditionalFormatting sqref="G3:G27">
    <cfRule type="colorScale" priority="18">
      <colorScale>
        <cfvo type="min"/>
        <cfvo type="max"/>
        <color rgb="FFFCFCFF"/>
        <color rgb="FFF8696B"/>
      </colorScale>
    </cfRule>
  </conditionalFormatting>
  <conditionalFormatting sqref="H3:H27 Q3:Q27">
    <cfRule type="colorScale" priority="20">
      <colorScale>
        <cfvo type="min"/>
        <cfvo type="max"/>
        <color rgb="FFFCFCFF"/>
        <color rgb="FFF8696B"/>
      </colorScale>
    </cfRule>
  </conditionalFormatting>
  <conditionalFormatting sqref="L3:L27">
    <cfRule type="colorScale" priority="17">
      <colorScale>
        <cfvo type="min"/>
        <cfvo type="max"/>
        <color rgb="FFFCFCFF"/>
        <color rgb="FFF8696B"/>
      </colorScale>
    </cfRule>
  </conditionalFormatting>
  <conditionalFormatting sqref="L28 G28 P28 U28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{8DBD9729-F9A2-4FD1-B0AB-CF3111D1A845}</x14:id>
        </ext>
      </extLst>
    </cfRule>
  </conditionalFormatting>
  <conditionalFormatting sqref="P3:P27">
    <cfRule type="colorScale" priority="16">
      <colorScale>
        <cfvo type="min"/>
        <cfvo type="max"/>
        <color rgb="FFFCFCFF"/>
        <color rgb="FFF8696B"/>
      </colorScale>
    </cfRule>
  </conditionalFormatting>
  <conditionalFormatting sqref="R3:T28 I3:K28 D3:F28 M3:O28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8:T28 I28:K28 D28:F28 M28:O28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9:T29 I29:K29 D29:F29 M29:O29">
    <cfRule type="dataBar" priority="5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{1CBD6AED-E61C-4CA0-8210-5EA7351ABED4}</x14:id>
        </ext>
      </extLst>
    </cfRule>
  </conditionalFormatting>
  <conditionalFormatting sqref="U3:U27">
    <cfRule type="colorScale" priority="15">
      <colorScale>
        <cfvo type="min"/>
        <cfvo type="max"/>
        <color rgb="FFFCFCFF"/>
        <color rgb="FFF8696B"/>
      </colorScale>
    </cfRule>
  </conditionalFormatting>
  <conditionalFormatting sqref="Y3:Y27">
    <cfRule type="colorScale" priority="11">
      <colorScale>
        <cfvo type="min"/>
        <cfvo type="max"/>
        <color rgb="FFFCFCFF"/>
        <color rgb="FFF8696B"/>
      </colorScale>
    </cfRule>
  </conditionalFormatting>
  <conditionalFormatting sqref="Y28"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{FBEA4B46-FDAB-4742-A972-792D951C4FF3}</x14:id>
        </ext>
      </extLst>
    </cfRule>
  </conditionalFormatting>
  <conditionalFormatting sqref="V3:X28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8:X2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29:X29">
    <cfRule type="dataBar" priority="1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{9803B8BC-4E53-4E35-A633-7F1F36489D26}</x14:id>
        </ext>
      </extLst>
    </cfRule>
  </conditionalFormatting>
  <conditionalFormatting sqref="Y3:Y27">
    <cfRule type="colorScale" priority="9">
      <colorScale>
        <cfvo type="min"/>
        <cfvo type="max"/>
        <color rgb="FFFCFCFF"/>
        <color rgb="FFF8696B"/>
      </colorScale>
    </cfRule>
  </conditionalFormatting>
  <conditionalFormatting sqref="AC3:AC27">
    <cfRule type="colorScale" priority="5">
      <colorScale>
        <cfvo type="min"/>
        <cfvo type="max"/>
        <color rgb="FFFCFCFF"/>
        <color rgb="FFF8696B"/>
      </colorScale>
    </cfRule>
  </conditionalFormatting>
  <conditionalFormatting sqref="AC28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{8FF26D4A-4A91-41EA-B253-262B4BADDC7D}</x14:id>
        </ext>
      </extLst>
    </cfRule>
  </conditionalFormatting>
  <conditionalFormatting sqref="Z3:AB28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8:AB28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29:AB29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{C2BC76FE-3583-423F-98E5-2B196EEABA7C}</x14:id>
        </ext>
      </extLst>
    </cfRule>
  </conditionalFormatting>
  <conditionalFormatting sqref="AC3:AC27">
    <cfRule type="colorScale" priority="3">
      <colorScale>
        <cfvo type="min"/>
        <cfvo type="max"/>
        <color rgb="FFFCFCFF"/>
        <color rgb="FFF8696B"/>
      </colorScale>
    </cfRule>
  </conditionalFormatting>
  <conditionalFormatting sqref="G28 L28 P28 U28 AC28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{03452ECF-DADF-4CDD-99D0-8717F23793BD}</x14:id>
        </ext>
      </extLst>
    </cfRule>
  </conditionalFormatting>
  <conditionalFormatting sqref="L28 G28 P28 U28 AC28 Y28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{C287B8E9-D1A1-43C9-8633-268AA5482846}</x14:id>
        </ext>
      </extLst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BD9729-F9A2-4FD1-B0AB-CF3111D1A84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L28 G28 P28 U28</xm:sqref>
        </x14:conditionalFormatting>
        <x14:conditionalFormatting xmlns:xm="http://schemas.microsoft.com/office/excel/2006/main">
          <x14:cfRule type="dataBar" id="{1CBD6AED-E61C-4CA0-8210-5EA7351ABED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R29:T29 I29:K29 D29:F29 M29:O29</xm:sqref>
        </x14:conditionalFormatting>
        <x14:conditionalFormatting xmlns:xm="http://schemas.microsoft.com/office/excel/2006/main">
          <x14:cfRule type="dataBar" id="{FBEA4B46-FDAB-4742-A972-792D951C4F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Y28</xm:sqref>
        </x14:conditionalFormatting>
        <x14:conditionalFormatting xmlns:xm="http://schemas.microsoft.com/office/excel/2006/main">
          <x14:cfRule type="dataBar" id="{9803B8BC-4E53-4E35-A633-7F1F36489D2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V29:X29</xm:sqref>
        </x14:conditionalFormatting>
        <x14:conditionalFormatting xmlns:xm="http://schemas.microsoft.com/office/excel/2006/main">
          <x14:cfRule type="dataBar" id="{8FF26D4A-4A91-41EA-B253-262B4BADDC7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AC28</xm:sqref>
        </x14:conditionalFormatting>
        <x14:conditionalFormatting xmlns:xm="http://schemas.microsoft.com/office/excel/2006/main">
          <x14:cfRule type="dataBar" id="{C2BC76FE-3583-423F-98E5-2B196EEABA7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Z29:AB29</xm:sqref>
        </x14:conditionalFormatting>
        <x14:conditionalFormatting xmlns:xm="http://schemas.microsoft.com/office/excel/2006/main">
          <x14:cfRule type="dataBar" id="{03452ECF-DADF-4CDD-99D0-8717F23793B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G28 L28 P28 U28 AC28</xm:sqref>
        </x14:conditionalFormatting>
        <x14:conditionalFormatting xmlns:xm="http://schemas.microsoft.com/office/excel/2006/main">
          <x14:cfRule type="dataBar" id="{C287B8E9-D1A1-43C9-8633-268AA548284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L28 G28 P28 U28 AC28 Y28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Munkalapok</vt:lpstr>
      </vt:variant>
      <vt:variant>
        <vt:i4>2</vt:i4>
      </vt:variant>
    </vt:vector>
  </HeadingPairs>
  <TitlesOfParts>
    <vt:vector size="2" baseType="lpstr">
      <vt:lpstr>Összefoglaló</vt:lpstr>
      <vt:lpstr>Kérdések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Tasy Levente (T6DL1U)</dc:creator>
  <cp:lastModifiedBy>Tasy Levente (T6DL1U)</cp:lastModifiedBy>
  <dcterms:created xsi:type="dcterms:W3CDTF">2026-09-19T17:26:24Z</dcterms:created>
  <dcterms:modified xsi:type="dcterms:W3CDTF">2026-09-22T14:15:57Z</dcterms:modified>
</cp:coreProperties>
</file>