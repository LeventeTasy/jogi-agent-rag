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ven\PycharmProjects\jogi-agent-clean\test\results\model_comparison\"/>
    </mc:Choice>
  </mc:AlternateContent>
  <xr:revisionPtr revIDLastSave="0" documentId="13_ncr:1_{6FF84642-2C52-4042-89B4-B8516CBA0811}" xr6:coauthVersionLast="47" xr6:coauthVersionMax="47" xr10:uidLastSave="{00000000-0000-0000-0000-000000000000}"/>
  <bookViews>
    <workbookView xWindow="-120" yWindow="-120" windowWidth="29040" windowHeight="16440" activeTab="1" xr2:uid="{D9DAACF3-2B6D-4249-925C-DCD65B142A30}"/>
  </bookViews>
  <sheets>
    <sheet name="Összefoglaló" sheetId="1" r:id="rId1"/>
    <sheet name="Kérdése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0" i="2" l="1"/>
  <c r="G30" i="2"/>
  <c r="D30" i="2"/>
  <c r="N29" i="2"/>
  <c r="O29" i="2"/>
  <c r="K29" i="2"/>
  <c r="L29" i="2"/>
  <c r="H29" i="2"/>
  <c r="I29" i="2"/>
  <c r="E29" i="2"/>
  <c r="F29" i="2"/>
  <c r="M29" i="2"/>
  <c r="M30" i="2" s="1"/>
  <c r="J29" i="2"/>
  <c r="G29" i="2"/>
  <c r="D29" i="2"/>
  <c r="E28" i="2"/>
  <c r="F28" i="2"/>
  <c r="G28" i="2"/>
  <c r="H28" i="2"/>
  <c r="I28" i="2"/>
  <c r="J28" i="2"/>
  <c r="K28" i="2"/>
  <c r="L28" i="2"/>
  <c r="M28" i="2"/>
  <c r="N28" i="2"/>
  <c r="O28" i="2"/>
  <c r="D28" i="2"/>
</calcChain>
</file>

<file path=xl/sharedStrings.xml><?xml version="1.0" encoding="utf-8"?>
<sst xmlns="http://schemas.openxmlformats.org/spreadsheetml/2006/main" count="111" uniqueCount="52">
  <si>
    <t>Base Model</t>
  </si>
  <si>
    <t>Base Model without Verifier</t>
  </si>
  <si>
    <t>Unified Model (Researcher+Grounding Verifier)</t>
  </si>
  <si>
    <t>Unified Model without Verifier</t>
  </si>
  <si>
    <t>Faithfulness</t>
  </si>
  <si>
    <t>Hallutination</t>
  </si>
  <si>
    <t>Answer Relevancy</t>
  </si>
  <si>
    <t>Context Relevancy</t>
  </si>
  <si>
    <t>Total Tokens avg.</t>
  </si>
  <si>
    <t>Verifier ran</t>
  </si>
  <si>
    <t>-</t>
  </si>
  <si>
    <t>Runtime avg.</t>
  </si>
  <si>
    <t>Mérés 25 kérdésen történt, csoportonként 3 könnyű, 2 nehéz kérdésen, illetve plusz 5 kombinált kérdésen.</t>
  </si>
  <si>
    <t>GDPR rendelet</t>
  </si>
  <si>
    <t>SZJA törvény</t>
  </si>
  <si>
    <t>Kombinált</t>
  </si>
  <si>
    <t>könnyű</t>
  </si>
  <si>
    <t>nehéz</t>
  </si>
  <si>
    <t>összetett</t>
  </si>
  <si>
    <t>Munkavállalóként hány munkanap távollétre vagyok jogosult a hozzátartozóm halála esetén a Munka Törvénykönyve alapján?</t>
  </si>
  <si>
    <t>Legalább hány nappal korábban köteles a munkavállaló írásban bejelenteni a fizetés nélküli szabadság igénybevételét a munkáltatója felé?</t>
  </si>
  <si>
    <t>A munkavállaló súlyos egészségi okból gondozásra szoruló hozzátartozója ápolása céljából évente legfeljebb hány munkanap mentesülésre jogosult a munkavégzési kötelezettsége alól?</t>
  </si>
  <si>
    <t>A felügyeleti hatóság korrekciós hatáskörében eljárva milyen intézkedést hozhat, ha egy adatkezelő adatkezelési tevékenysége megsértette a rendelet rendelkezéseit?</t>
  </si>
  <si>
    <t>Mentesülhet-e az adatkezelő a kártérítési felelősség alól, ha bizonyítani tudja, hogy a kárt előidéző eseményért őt semmilyen módon nem terheli felelősség?</t>
  </si>
  <si>
    <t>Munka Törvénykönyve (Mt,)</t>
  </si>
  <si>
    <t>Egy vállalat átalakulása során (munkáltató személyében bekövetkező változás) az átadó munkáltatónál üzemi tanács nem működik, A munkáltatók megállapodtak, hogy az átvevő munkáltató tájékoztatja a munkavállalókat az átszállásról, Az átvevő munkáltató az átszállás napján írásban közölte a munkáltató azonosító adatait és a munkafeltételek változását, Milyen jogi következménye van annak, hogy a tájékoztatásra az átszállást megelőző 15 napos határidőn belül nem került sor, és milyen felelősségi szabály vonatkozik az átszállás előtti munkavállalói követelésekre?</t>
  </si>
  <si>
    <t>Egy munkavállaló, aki megváltozott munkaképességű, július 1-jén lépett munkaviszonyba, A munkavállaló augusztus hónapban üzemi baleset miatt vált keresőképtelenné, majd a felépülése után, októberben betegség miatt 10 munkanapra keresőképtelenné vált, Jogosult-e az érintett a 120, § szerinti 5 munkanap pótszabadságra az adott naptári évben, és hány munkanap betegszabadság illeti meg az év hátralévő részében a 126, § szabályai alapján?</t>
  </si>
  <si>
    <t>Egy ügyfél vagyoni kárt szenvedett az adatkezelő szabálytalan adatkezelése miatt, Melyik cikk alapján jogosult kártérítést követelni az adatkezelőtől?</t>
  </si>
  <si>
    <t>Egy ügyvédi iroda (adatkezelő) szakmai titoktartási kötelezettség hatálya alá tartozó iratanyagot kezel, A felügyeleti hatóság vizsgálatot indít az irodánál, és betekintést kér az ügyfélaktákba, Hogyan kell a tagállami jog szerinti titoktartási kötelezettséget a 90, cikk alapján összeegyeztetni a felügyeleti hatóság 58, cikk szerinti ellenőrzési hatáskörével, és milyen feltételeknek kell megfelelni ahhoz, hogy a hatóság egyáltalán korlátozhatja az adatkezelőre vonatkozó titoktartási kötelezettséget?</t>
  </si>
  <si>
    <t>Egy érintett a 18, cikk (1) bekezdésének c) pontjára hivatkozva kéri személyes adatai kezelésének korlátozását, mivel az adatkezelőnek a konkrét adatkezelési cél megvalósulása miatt már nincs szüksége az adatokra, de az érintett azokat egy folyamatban lévő polgári peres eljárásban bizonyítékként kívánja felhasználni, Az adatkezelő az adatokat a korlátozást követően egy külső, jogi képviseletet ellátó ügyvédi iroda szerverére kívánja áthelyezni jogi igényeinek védelme érdekében, Megfelel-e ez az adatkezelési művelet a 18, cikk (2) bekezdésének, és milyen tájékoztatási kötelezettségei keletkeznek az adatkezelőnek az adatkezelés esetleges későbbi feloldása kapcsán?</t>
  </si>
  <si>
    <t>Polgári Törvénykönyv (Ptk,)</t>
  </si>
  <si>
    <t>Házastársak elváltak, de nem tudnak megállapodni a közös lakás további használatáról, Melyik szerv dönthet ilyen esetben a lakáshasználat rendezéséről valamelyik fél kérelmére?</t>
  </si>
  <si>
    <t>Egy bank hitelt nyújtott, amelynek biztosítékául két zálogjogosult is bejegyeztetett zálogjogot, Átveheti-e a megelőző ranghelyű zálogjogosult a zálogjog érvényesítését a már megkezdett eljárás során?</t>
  </si>
  <si>
    <t>A vagyonrendelő és a kedvezményezett elégedetlen a vagyonkezelő döntéseivel, ezért írásban utasítják a vagyonkezelőt a kezelt vagyon értékesítésére, Érvényes-e ez az utasítás?</t>
  </si>
  <si>
    <t>Egy határozatlan idejű bérleti szerződés esetén a bérbeadó a hónap 20, napján közli a rendes felmondást a bérlővel, A Ptk, 6:347, § alapján a bérleti jogviszony mikor tekinthető megszűntnek, tekintettel arra, hogy a felek nem a törvényben meghatározott 15, napi határidőt tartották be?</t>
  </si>
  <si>
    <t>Egy vétőképtelen személy kárt okoz egy harmadik félnek, A kártérítési perben a vétőképtelen gondozója bizonyítja, hogy a károkozás idején a felügyeletet megfelelően ellátta, és a nevelésével kapcsolatban semmilyen felróhatóság nem terheli, A Ptk, 6:544, § rendelkezései értelmében mentesül-e a gondozó a kártérítési felelősség alól, vagy a vétőképtelen személy cselekvőképességének hiánya objektív felelősséget von maga után?</t>
  </si>
  <si>
    <t>Egy magánszemély közüzemi szolgáltatója a fogyasztóvédelmi törvényben meghatározott szabályok szerint elengedett egy tartozást, Milyen jövedelemhatár esetén nem keletkezik ebből adóköteles jövedelme a magánszemélynek, ha a kötelezett és a vele közös háztartásban élő hozzátartozóinak egy főre eső jövedelme a nyilatkozattételt megelőző három hónap átlagában a szociális vetítési alap összegének kétszeresét vizsgáljuk?</t>
  </si>
  <si>
    <t>Az SzJA törvény 50, § (7) bekezdése alapján mennyi időre tilos ismételten átalányadózást választania annak az egyéni vállalkozónak, aki az átalányadózását megszüntette, vagy az arra való jogosultsága megszűnt?</t>
  </si>
  <si>
    <t>A 67/C, § alapján az adóévben kriptoeszközzel végrehajtott ügyletből származó ügyleti bevételt akkor nem kell megállapítani, ha az ügyletből származó bevétel a minimálbér mekkora százalékát nem haladja meg, feltéve, hogy a bevétel megszerzésének napján más, azonos tárgyú ügyletből a magánszemély nem szerez bevételt, továbbá az adóévben e bevételek összege a minimálbért nem haladja meg?</t>
  </si>
  <si>
    <t>Egy magánszemély egyéni vállalkozóként mezőgazdasági tevékenységet folytat, és elhatárolt veszteséggel rendelkezik, A vállalkozó az adóév végén megszünteti egyéni vállalkozói jogállását, és tevékenységét mezőgazdasági őstermelőként folytatja tovább, Milyen szabályok szerint számolhatja el a korábbi egyéni vállalkozói időszakból fennmaradt elhatárolt veszteségét az őstermelői jogállás alatt, figyelembe véve a 49/A, § (10) bekezdés d) pontját?</t>
  </si>
  <si>
    <t>A 66, § (1) bekezdés a) pont ae) és ag) alpontja értelmében osztaléknak minősülő juttatások esetében a 66, § (4) bekezdése értelmében mikor nem alkalmazható az osztalékjövedelemre vonatkozó rendelkezés, ha a kedvezményezett magánszemély a jogállását nem alapítói, hanem egyéb, tevékenységnyújtással összefüggő jogcímen szerezte?</t>
  </si>
  <si>
    <t>Egy munkáltató teljesítménybérezési rendszert vezet be, amelyhez a munkavállalók szigorú KPI-jait egy felhőalapú rendszerben tárolja, Az adatvédelmi tisztviselő (GDPR 37, cikk) aggályokat fogalmaz meg a rendszer adatbiztonsága miatt, ugyanakkor a munkáltató a 138, § szerinti teljesítménykövetelmény-megállapítási kötelezettsége kapcsán vitába keveredik a dolgozókkal, Mely jogszabályi rendelkezések alapján kell a munkáltatónak bizonyítania a rendszer jogszerűségét, és milyen adatvédelmi szankciókat kockáztat, ha a teljesítményértékeléshez egészségügyi adatokat (GDPR 9, cikk) is szisztematikusan rögzít?</t>
  </si>
  <si>
    <t>Egy zálogjogosult (Ptk, 5:131, §) el kívánja árverezni egy adós üzemi berendezését, Az eljárás során a zálogjogosult az adós által a cégtől kapott, kedvezményes lakáscélú hitel (SZJA 72, §) dokumentációját is értékesítené, mint a követeléshez kapcsolódó iratanyagot, Hogyan érinti az előzetes értesítési kötelezettség (Ptk, 5:131, §) az adatkezelési szabályokat, ha az értékesítendő iratok az érintettek különleges adatait (GDPR 9, cikk) tartalmazzák, és a zálogtárgy nem esik a gyorsan romló dolgok körébe?</t>
  </si>
  <si>
    <t>Munkáltatói kártérítési felelősség körébe tartozó hiány esetén a felek megállapodnak, hogy a munkavállaló a tartozását a munkáltató által korábban nyújtott munkabérelőleg (SZJA 72, §) elszámolásával egyenlíti ki, A folyamat során azonban a munkáltató a munkavállaló szabadságmegváltását is beszámítaná a hiányba, Milyen munkajogi korlátok vonatkoznak a szabadság kiadására/megváltására (Mt, 115, §) a kártérítési beszámítás során, és hogyan minősül adózási szempontból a kártérítési felelősséggel összefüggő hiány (SZJA 72, § (4) m) pont)?</t>
  </si>
  <si>
    <t>Egy közfeladatot ellátó szerv (GDPR 37, cikk) zálogjogot érvényesít egy olyan ingatlanon, amelynek a tulajdonosa egyúttal a szervnél munkaviszonyban álló magánszemély, A szerv az értékesítési folyamat során a zálogkötelezett munkavállalói jövedelemadatait is kezeli a követelés mértékének megállapításához, Ütközik-e az SZJA törvény 4, § szerinti bevétel fogalma és a munkabér-elszámolás adatkezelési rendje a Ptk, 5:131, § szerinti előzetes értesítési kötelezettséggel, ha a zálogjogosult a közös adatvédelmi tisztviselő révén kívánja biztosítani az adatok védelmét?</t>
  </si>
  <si>
    <t>Biztosítási szerződés keretében a biztosító a fedezetfeltöltés (Ptk, 6:461, §) elmulasztása miatt csökkenti a biztosítási összeget, ugyanakkor az adóhatóság az eredeti (teljes) biztosítási összeg után megfizetett díj kedvezményezettjének jövedelemadózását vizsgálja, Hogyan értelmezhető az SZJA törvény 72, § szerinti kamatkedvezmény, ha a biztosító a fedezetfeltöltés során kedvezményes törlesztési lehetőséget kínál a munkavállaló szerződő félnek, és hogyan kell biztosítani az adatvédelmi tisztviselő bevonását, ha a biztosítási esemény különleges adatot (GDPR 9, cikk) is érint?</t>
  </si>
  <si>
    <t>Question</t>
  </si>
  <si>
    <t>Law</t>
  </si>
  <si>
    <t>Type</t>
  </si>
  <si>
    <t>Error:</t>
  </si>
  <si>
    <t>Error avg.:</t>
  </si>
  <si>
    <t>Avg.: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</si>
</sst>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0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/>
    <xf numFmtId="2" fontId="0" fillId="0" borderId="4" xfId="0" applyNumberFormat="1" applyBorder="1"/>
    <xf numFmtId="2" fontId="0" fillId="0" borderId="0" xfId="0" applyNumberFormat="1" applyBorder="1"/>
    <xf numFmtId="2" fontId="0" fillId="0" borderId="5" xfId="0" applyNumberForma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167" fontId="0" fillId="0" borderId="6" xfId="0" applyNumberFormat="1" applyBorder="1"/>
    <xf numFmtId="167" fontId="0" fillId="0" borderId="7" xfId="0" applyNumberFormat="1" applyBorder="1"/>
    <xf numFmtId="167" fontId="0" fillId="0" borderId="8" xfId="0" applyNumberFormat="1" applyBorder="1"/>
    <xf numFmtId="1" fontId="0" fillId="0" borderId="12" xfId="0" applyNumberFormat="1" applyBorder="1"/>
    <xf numFmtId="1" fontId="0" fillId="0" borderId="2" xfId="0" applyNumberFormat="1" applyBorder="1"/>
    <xf numFmtId="1" fontId="0" fillId="0" borderId="13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6" xfId="0" applyNumberFormat="1" applyBorder="1"/>
    <xf numFmtId="2" fontId="0" fillId="0" borderId="18" xfId="0" applyNumberFormat="1" applyBorder="1"/>
    <xf numFmtId="0" fontId="0" fillId="0" borderId="19" xfId="0" applyBorder="1"/>
    <xf numFmtId="2" fontId="0" fillId="0" borderId="20" xfId="0" applyNumberFormat="1" applyBorder="1"/>
    <xf numFmtId="0" fontId="0" fillId="0" borderId="21" xfId="0" applyBorder="1"/>
    <xf numFmtId="0" fontId="0" fillId="0" borderId="10" xfId="0" applyBorder="1"/>
    <xf numFmtId="2" fontId="0" fillId="0" borderId="22" xfId="0" applyNumberFormat="1" applyBorder="1"/>
    <xf numFmtId="2" fontId="0" fillId="0" borderId="23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2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Összefoglaló!$A$2</c:f>
              <c:strCache>
                <c:ptCount val="1"/>
                <c:pt idx="0">
                  <c:v>Faithfulness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Összefoglaló!$B$2:$E$2</c:f>
              <c:numCache>
                <c:formatCode>General</c:formatCode>
                <c:ptCount val="4"/>
                <c:pt idx="0">
                  <c:v>0.97204699999999999</c:v>
                </c:pt>
                <c:pt idx="1">
                  <c:v>0.98533300000000001</c:v>
                </c:pt>
                <c:pt idx="2">
                  <c:v>0.98601099999999997</c:v>
                </c:pt>
                <c:pt idx="3">
                  <c:v>0.99102999999999997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4-405D-9E97-E2372F849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3607375"/>
        <c:axId val="522801679"/>
      </c:barChart>
      <c:catAx>
        <c:axId val="523607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01679"/>
        <c:crosses val="autoZero"/>
        <c:auto val="1"/>
        <c:lblAlgn val="ctr"/>
        <c:lblOffset val="100"/>
        <c:noMultiLvlLbl val="0"/>
      </c:catAx>
      <c:valAx>
        <c:axId val="52280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3607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Hallutination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Összefoglaló!$B$3:$E$3</c:f>
              <c:numCache>
                <c:formatCode>0.00%</c:formatCode>
                <c:ptCount val="4"/>
                <c:pt idx="0">
                  <c:v>2.8000000000000001E-2</c:v>
                </c:pt>
                <c:pt idx="1">
                  <c:v>1.47E-2</c:v>
                </c:pt>
                <c:pt idx="2">
                  <c:v>1.4E-2</c:v>
                </c:pt>
                <c:pt idx="3">
                  <c:v>8.9999999999999993E-3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9-462B-82BF-D1772347A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8590895"/>
        <c:axId val="522845359"/>
      </c:barChart>
      <c:catAx>
        <c:axId val="358590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45359"/>
        <c:crosses val="autoZero"/>
        <c:auto val="1"/>
        <c:lblAlgn val="ctr"/>
        <c:lblOffset val="100"/>
        <c:noMultiLvlLbl val="0"/>
      </c:catAx>
      <c:valAx>
        <c:axId val="52284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358590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Answer Relevancy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Összefoglaló!$B$4:$E$4</c:f>
              <c:numCache>
                <c:formatCode>General</c:formatCode>
                <c:ptCount val="4"/>
                <c:pt idx="0">
                  <c:v>0.98721400000000004</c:v>
                </c:pt>
                <c:pt idx="1">
                  <c:v>0.96231800000000001</c:v>
                </c:pt>
                <c:pt idx="2">
                  <c:v>0.98141299999999998</c:v>
                </c:pt>
                <c:pt idx="3">
                  <c:v>0.98063500000000003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C-46E1-A123-1ECE06C6A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1532991"/>
        <c:axId val="522842959"/>
      </c:barChart>
      <c:catAx>
        <c:axId val="55153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42959"/>
        <c:crosses val="autoZero"/>
        <c:auto val="1"/>
        <c:lblAlgn val="ctr"/>
        <c:lblOffset val="100"/>
        <c:noMultiLvlLbl val="0"/>
      </c:catAx>
      <c:valAx>
        <c:axId val="52284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5153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Context Relevancy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Összefoglaló!$B$5:$E$5</c:f>
              <c:numCache>
                <c:formatCode>General</c:formatCode>
                <c:ptCount val="4"/>
                <c:pt idx="0">
                  <c:v>0.96666700000000005</c:v>
                </c:pt>
                <c:pt idx="1">
                  <c:v>0.908667</c:v>
                </c:pt>
                <c:pt idx="2">
                  <c:v>0.88471</c:v>
                </c:pt>
                <c:pt idx="3">
                  <c:v>0.973333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9-471D-AD2F-9FD690772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9981167"/>
        <c:axId val="522792559"/>
      </c:barChart>
      <c:catAx>
        <c:axId val="549981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792559"/>
        <c:crosses val="autoZero"/>
        <c:auto val="1"/>
        <c:lblAlgn val="ctr"/>
        <c:lblOffset val="100"/>
        <c:noMultiLvlLbl val="0"/>
      </c:catAx>
      <c:valAx>
        <c:axId val="52279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4998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</a:t>
            </a:r>
            <a:r>
              <a:rPr lang="hu-HU"/>
              <a:t>otal</a:t>
            </a:r>
            <a:r>
              <a:rPr lang="hu-HU" baseline="0"/>
              <a:t> Tokens avg.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Összefoglaló!$B$6:$E$6</c:f>
              <c:numCache>
                <c:formatCode>General</c:formatCode>
                <c:ptCount val="4"/>
                <c:pt idx="0">
                  <c:v>16870.72</c:v>
                </c:pt>
                <c:pt idx="1">
                  <c:v>10250.719999999999</c:v>
                </c:pt>
                <c:pt idx="2">
                  <c:v>16484.48</c:v>
                </c:pt>
                <c:pt idx="3">
                  <c:v>10966.28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8-4029-B2F2-3BBD6C9DE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1801807"/>
        <c:axId val="522800719"/>
      </c:barChart>
      <c:catAx>
        <c:axId val="541801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00719"/>
        <c:crosses val="autoZero"/>
        <c:auto val="1"/>
        <c:lblAlgn val="ctr"/>
        <c:lblOffset val="100"/>
        <c:noMultiLvlLbl val="0"/>
      </c:catAx>
      <c:valAx>
        <c:axId val="52280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4180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Runtime</a:t>
            </a:r>
            <a:r>
              <a:rPr lang="hu-HU" baseline="0"/>
              <a:t> avg.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Összefoglaló!$B$7:$E$7</c:f>
              <c:numCache>
                <c:formatCode>General</c:formatCode>
                <c:ptCount val="4"/>
                <c:pt idx="0">
                  <c:v>23.34</c:v>
                </c:pt>
                <c:pt idx="1">
                  <c:v>18.27</c:v>
                </c:pt>
                <c:pt idx="2">
                  <c:v>20.14</c:v>
                </c:pt>
                <c:pt idx="3">
                  <c:v>16.37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5-4C76-B588-6B2ACBDF2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6690367"/>
        <c:axId val="522812239"/>
      </c:barChart>
      <c:catAx>
        <c:axId val="446690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12239"/>
        <c:crosses val="autoZero"/>
        <c:auto val="1"/>
        <c:lblAlgn val="ctr"/>
        <c:lblOffset val="100"/>
        <c:noMultiLvlLbl val="0"/>
      </c:catAx>
      <c:valAx>
        <c:axId val="52281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446690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9525</xdr:rowOff>
    </xdr:from>
    <xdr:to>
      <xdr:col>3</xdr:col>
      <xdr:colOff>1019175</xdr:colOff>
      <xdr:row>27</xdr:row>
      <xdr:rowOff>85725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EB105F2-07E3-3C30-9C77-3F0895B0F7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1019175</xdr:colOff>
      <xdr:row>13</xdr:row>
      <xdr:rowOff>19050</xdr:rowOff>
    </xdr:from>
    <xdr:to>
      <xdr:col>6</xdr:col>
      <xdr:colOff>161925</xdr:colOff>
      <xdr:row>27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98A3C0E-276D-DF02-7619-6C2DF8183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27</xdr:row>
      <xdr:rowOff>104775</xdr:rowOff>
    </xdr:from>
    <xdr:to>
      <xdr:col>3</xdr:col>
      <xdr:colOff>1019175</xdr:colOff>
      <xdr:row>41</xdr:row>
      <xdr:rowOff>180975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00E275E-12F8-703E-233F-14789AA9E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1009650</xdr:colOff>
      <xdr:row>27</xdr:row>
      <xdr:rowOff>104775</xdr:rowOff>
    </xdr:from>
    <xdr:to>
      <xdr:col>6</xdr:col>
      <xdr:colOff>152400</xdr:colOff>
      <xdr:row>41</xdr:row>
      <xdr:rowOff>180975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3189DD40-2F1A-5794-B506-731B43C94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152400</xdr:colOff>
      <xdr:row>13</xdr:row>
      <xdr:rowOff>19050</xdr:rowOff>
    </xdr:from>
    <xdr:to>
      <xdr:col>12</xdr:col>
      <xdr:colOff>152400</xdr:colOff>
      <xdr:row>27</xdr:row>
      <xdr:rowOff>95250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3F38702B-6B87-F99C-310A-D8602F9AC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152400</xdr:colOff>
      <xdr:row>27</xdr:row>
      <xdr:rowOff>123825</xdr:rowOff>
    </xdr:from>
    <xdr:to>
      <xdr:col>12</xdr:col>
      <xdr:colOff>152400</xdr:colOff>
      <xdr:row>42</xdr:row>
      <xdr:rowOff>9525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1213FE35-ED9E-8B4F-94AA-E39423629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300E-0F1F-4949-90ED-4C2BDEB1CA35}">
  <dimension ref="A1:E10"/>
  <sheetViews>
    <sheetView workbookViewId="0">
      <selection activeCell="E1" sqref="E1"/>
    </sheetView>
  </sheetViews>
  <sheetFormatPr baseColWidth="10" defaultRowHeight="15" x14ac:dyDescent="0.25"/>
  <cols>
    <col min="1" max="1" width="16.7109375" bestFit="1" customWidth="1"/>
    <col min="3" max="3" width="25.140625" bestFit="1" customWidth="1"/>
    <col min="4" max="4" width="42.7109375" bestFit="1" customWidth="1"/>
    <col min="5" max="5" width="27.28515625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B2">
        <v>0.97204699999999999</v>
      </c>
      <c r="C2">
        <v>0.98533300000000001</v>
      </c>
      <c r="D2">
        <v>0.98601099999999997</v>
      </c>
      <c r="E2">
        <v>0.99102999999999997</v>
      </c>
    </row>
    <row r="3" spans="1:5" x14ac:dyDescent="0.25">
      <c r="A3" t="s">
        <v>5</v>
      </c>
      <c r="B3" s="1">
        <v>2.8000000000000001E-2</v>
      </c>
      <c r="C3" s="1">
        <v>1.47E-2</v>
      </c>
      <c r="D3" s="1">
        <v>1.4E-2</v>
      </c>
      <c r="E3" s="1">
        <v>8.9999999999999993E-3</v>
      </c>
    </row>
    <row r="4" spans="1:5" x14ac:dyDescent="0.25">
      <c r="A4" t="s">
        <v>6</v>
      </c>
      <c r="B4">
        <v>0.98721400000000004</v>
      </c>
      <c r="C4">
        <v>0.96231800000000001</v>
      </c>
      <c r="D4">
        <v>0.98141299999999998</v>
      </c>
      <c r="E4">
        <v>0.98063500000000003</v>
      </c>
    </row>
    <row r="5" spans="1:5" x14ac:dyDescent="0.25">
      <c r="A5" t="s">
        <v>7</v>
      </c>
      <c r="B5">
        <v>0.96666700000000005</v>
      </c>
      <c r="C5">
        <v>0.908667</v>
      </c>
      <c r="D5">
        <v>0.88471</v>
      </c>
      <c r="E5">
        <v>0.973333</v>
      </c>
    </row>
    <row r="6" spans="1:5" x14ac:dyDescent="0.25">
      <c r="A6" t="s">
        <v>8</v>
      </c>
      <c r="B6">
        <v>16870.72</v>
      </c>
      <c r="C6">
        <v>10250.719999999999</v>
      </c>
      <c r="D6">
        <v>16484.48</v>
      </c>
      <c r="E6">
        <v>10966.28</v>
      </c>
    </row>
    <row r="7" spans="1:5" x14ac:dyDescent="0.25">
      <c r="A7" t="s">
        <v>11</v>
      </c>
      <c r="B7">
        <v>23.34</v>
      </c>
      <c r="C7">
        <v>18.27</v>
      </c>
      <c r="D7">
        <v>20.14</v>
      </c>
      <c r="E7">
        <v>16.37</v>
      </c>
    </row>
    <row r="8" spans="1:5" x14ac:dyDescent="0.25">
      <c r="A8" t="s">
        <v>9</v>
      </c>
      <c r="B8">
        <v>6</v>
      </c>
      <c r="C8" t="s">
        <v>10</v>
      </c>
      <c r="D8">
        <v>3</v>
      </c>
      <c r="E8" t="s">
        <v>10</v>
      </c>
    </row>
    <row r="10" spans="1:5" x14ac:dyDescent="0.25">
      <c r="A10" t="s">
        <v>12</v>
      </c>
    </row>
  </sheetData>
  <conditionalFormatting sqref="B2:E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:E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E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E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BC549-5F0D-4260-974E-C5029CF103D9}">
  <dimension ref="A1:O30"/>
  <sheetViews>
    <sheetView tabSelected="1" workbookViewId="0">
      <selection activeCell="R2" sqref="R2"/>
    </sheetView>
  </sheetViews>
  <sheetFormatPr baseColWidth="10" defaultRowHeight="15" x14ac:dyDescent="0.25"/>
  <cols>
    <col min="1" max="1" width="25" bestFit="1" customWidth="1"/>
    <col min="2" max="2" width="8.7109375" bestFit="1" customWidth="1"/>
    <col min="3" max="3" width="10.42578125" customWidth="1"/>
    <col min="4" max="4" width="11.85546875" bestFit="1" customWidth="1"/>
    <col min="5" max="6" width="16.7109375" bestFit="1" customWidth="1"/>
    <col min="7" max="7" width="11.85546875" bestFit="1" customWidth="1"/>
    <col min="8" max="9" width="16.7109375" bestFit="1" customWidth="1"/>
    <col min="10" max="10" width="11.85546875" bestFit="1" customWidth="1"/>
    <col min="11" max="12" width="16.7109375" bestFit="1" customWidth="1"/>
    <col min="13" max="13" width="11.85546875" bestFit="1" customWidth="1"/>
    <col min="14" max="15" width="16.7109375" bestFit="1" customWidth="1"/>
  </cols>
  <sheetData>
    <row r="1" spans="1:15" x14ac:dyDescent="0.25">
      <c r="D1" s="2" t="s">
        <v>0</v>
      </c>
      <c r="E1" s="3"/>
      <c r="F1" s="4"/>
      <c r="G1" s="2" t="s">
        <v>1</v>
      </c>
      <c r="H1" s="3"/>
      <c r="I1" s="4"/>
      <c r="J1" s="2" t="s">
        <v>2</v>
      </c>
      <c r="K1" s="3"/>
      <c r="L1" s="4"/>
      <c r="M1" s="2" t="s">
        <v>3</v>
      </c>
      <c r="N1" s="3"/>
      <c r="O1" s="4"/>
    </row>
    <row r="2" spans="1:15" x14ac:dyDescent="0.25">
      <c r="A2" s="34" t="s">
        <v>47</v>
      </c>
      <c r="B2" s="35" t="s">
        <v>48</v>
      </c>
      <c r="C2" s="36" t="s">
        <v>46</v>
      </c>
      <c r="D2" s="19" t="s">
        <v>4</v>
      </c>
      <c r="E2" s="19" t="s">
        <v>6</v>
      </c>
      <c r="F2" s="20" t="s">
        <v>7</v>
      </c>
      <c r="G2" s="18" t="s">
        <v>4</v>
      </c>
      <c r="H2" s="19" t="s">
        <v>6</v>
      </c>
      <c r="I2" s="20" t="s">
        <v>7</v>
      </c>
      <c r="J2" s="18" t="s">
        <v>4</v>
      </c>
      <c r="K2" s="19" t="s">
        <v>6</v>
      </c>
      <c r="L2" s="20" t="s">
        <v>7</v>
      </c>
      <c r="M2" s="18" t="s">
        <v>4</v>
      </c>
      <c r="N2" s="19" t="s">
        <v>6</v>
      </c>
      <c r="O2" s="20" t="s">
        <v>7</v>
      </c>
    </row>
    <row r="3" spans="1:15" x14ac:dyDescent="0.25">
      <c r="A3" s="21" t="s">
        <v>24</v>
      </c>
      <c r="B3" s="19" t="s">
        <v>16</v>
      </c>
      <c r="C3" s="19" t="s">
        <v>19</v>
      </c>
      <c r="D3" s="22">
        <v>1</v>
      </c>
      <c r="E3" s="23">
        <v>1</v>
      </c>
      <c r="F3" s="24">
        <v>1</v>
      </c>
      <c r="G3" s="22">
        <v>1</v>
      </c>
      <c r="H3" s="23">
        <v>0.94117647058823495</v>
      </c>
      <c r="I3" s="24">
        <v>0.66666666666666596</v>
      </c>
      <c r="J3" s="22">
        <v>1</v>
      </c>
      <c r="K3" s="23">
        <v>1</v>
      </c>
      <c r="L3" s="24">
        <v>0.66666666666666596</v>
      </c>
      <c r="M3" s="22">
        <v>1</v>
      </c>
      <c r="N3" s="23">
        <v>0.9375</v>
      </c>
      <c r="O3" s="25">
        <v>0.66666666666666596</v>
      </c>
    </row>
    <row r="4" spans="1:15" x14ac:dyDescent="0.25">
      <c r="A4" s="26" t="s">
        <v>24</v>
      </c>
      <c r="B4" s="5" t="s">
        <v>16</v>
      </c>
      <c r="C4" s="5" t="s">
        <v>20</v>
      </c>
      <c r="D4" s="6">
        <v>0.76923076923076905</v>
      </c>
      <c r="E4" s="7">
        <v>1</v>
      </c>
      <c r="F4" s="8">
        <v>0.75</v>
      </c>
      <c r="G4" s="6">
        <v>0.91666666666666596</v>
      </c>
      <c r="H4" s="7">
        <v>1</v>
      </c>
      <c r="I4" s="8">
        <v>0.66666666666666596</v>
      </c>
      <c r="J4" s="6">
        <v>1</v>
      </c>
      <c r="K4" s="7">
        <v>1</v>
      </c>
      <c r="L4" s="8">
        <v>0.5</v>
      </c>
      <c r="M4" s="6">
        <v>1</v>
      </c>
      <c r="N4" s="7">
        <v>0.92307692307692302</v>
      </c>
      <c r="O4" s="27">
        <v>1</v>
      </c>
    </row>
    <row r="5" spans="1:15" x14ac:dyDescent="0.25">
      <c r="A5" s="26" t="s">
        <v>24</v>
      </c>
      <c r="B5" s="5" t="s">
        <v>16</v>
      </c>
      <c r="C5" s="5" t="s">
        <v>21</v>
      </c>
      <c r="D5" s="6">
        <v>1</v>
      </c>
      <c r="E5" s="7">
        <v>1</v>
      </c>
      <c r="F5" s="8">
        <v>0.66666666666666596</v>
      </c>
      <c r="G5" s="6">
        <v>1</v>
      </c>
      <c r="H5" s="7">
        <v>0.8125</v>
      </c>
      <c r="I5" s="8">
        <v>0.66666666666666596</v>
      </c>
      <c r="J5" s="6">
        <v>1</v>
      </c>
      <c r="K5" s="7">
        <v>0.95652173913043403</v>
      </c>
      <c r="L5" s="8">
        <v>0.6</v>
      </c>
      <c r="M5" s="6">
        <v>0.93333333333333302</v>
      </c>
      <c r="N5" s="7">
        <v>1</v>
      </c>
      <c r="O5" s="27">
        <v>1</v>
      </c>
    </row>
    <row r="6" spans="1:15" x14ac:dyDescent="0.25">
      <c r="A6" s="26" t="s">
        <v>24</v>
      </c>
      <c r="B6" s="5" t="s">
        <v>17</v>
      </c>
      <c r="C6" s="5" t="s">
        <v>25</v>
      </c>
      <c r="D6" s="6">
        <v>1</v>
      </c>
      <c r="E6" s="7">
        <v>0.94444444444444398</v>
      </c>
      <c r="F6" s="8">
        <v>1</v>
      </c>
      <c r="G6" s="6">
        <v>1</v>
      </c>
      <c r="H6" s="7">
        <v>1</v>
      </c>
      <c r="I6" s="8">
        <v>1</v>
      </c>
      <c r="J6" s="6">
        <v>1</v>
      </c>
      <c r="K6" s="7">
        <v>1</v>
      </c>
      <c r="L6" s="8">
        <v>0.8</v>
      </c>
      <c r="M6" s="6">
        <v>1</v>
      </c>
      <c r="N6" s="7">
        <v>1</v>
      </c>
      <c r="O6" s="27">
        <v>1</v>
      </c>
    </row>
    <row r="7" spans="1:15" x14ac:dyDescent="0.25">
      <c r="A7" s="28" t="s">
        <v>24</v>
      </c>
      <c r="B7" s="29" t="s">
        <v>17</v>
      </c>
      <c r="C7" s="29" t="s">
        <v>26</v>
      </c>
      <c r="D7" s="9">
        <v>1</v>
      </c>
      <c r="E7" s="10">
        <v>1</v>
      </c>
      <c r="F7" s="11">
        <v>1</v>
      </c>
      <c r="G7" s="9">
        <v>1</v>
      </c>
      <c r="H7" s="10">
        <v>1</v>
      </c>
      <c r="I7" s="11">
        <v>1</v>
      </c>
      <c r="J7" s="9">
        <v>1</v>
      </c>
      <c r="K7" s="10">
        <v>0.92</v>
      </c>
      <c r="L7" s="11">
        <v>1</v>
      </c>
      <c r="M7" s="9">
        <v>1</v>
      </c>
      <c r="N7" s="10">
        <v>0.83333333333333304</v>
      </c>
      <c r="O7" s="30">
        <v>1</v>
      </c>
    </row>
    <row r="8" spans="1:15" x14ac:dyDescent="0.25">
      <c r="A8" s="21" t="s">
        <v>13</v>
      </c>
      <c r="B8" s="19" t="s">
        <v>16</v>
      </c>
      <c r="C8" s="19" t="s">
        <v>27</v>
      </c>
      <c r="D8" s="22">
        <v>1</v>
      </c>
      <c r="E8" s="23">
        <v>1</v>
      </c>
      <c r="F8" s="24">
        <v>1</v>
      </c>
      <c r="G8" s="22">
        <v>0.91666666666666596</v>
      </c>
      <c r="H8" s="23">
        <v>1</v>
      </c>
      <c r="I8" s="24">
        <v>0.75</v>
      </c>
      <c r="J8" s="22">
        <v>1</v>
      </c>
      <c r="K8" s="23">
        <v>1</v>
      </c>
      <c r="L8" s="24">
        <v>0.75</v>
      </c>
      <c r="M8" s="22">
        <v>1</v>
      </c>
      <c r="N8" s="23">
        <v>1</v>
      </c>
      <c r="O8" s="25">
        <v>1</v>
      </c>
    </row>
    <row r="9" spans="1:15" x14ac:dyDescent="0.25">
      <c r="A9" s="26" t="s">
        <v>13</v>
      </c>
      <c r="B9" s="5" t="s">
        <v>16</v>
      </c>
      <c r="C9" s="5" t="s">
        <v>22</v>
      </c>
      <c r="D9" s="6">
        <v>1</v>
      </c>
      <c r="E9" s="7">
        <v>0.95</v>
      </c>
      <c r="F9" s="8">
        <v>1</v>
      </c>
      <c r="G9" s="6">
        <v>1</v>
      </c>
      <c r="H9" s="7">
        <v>1</v>
      </c>
      <c r="I9" s="8">
        <v>1</v>
      </c>
      <c r="J9" s="6">
        <v>1</v>
      </c>
      <c r="K9" s="7">
        <v>0.83333333333333304</v>
      </c>
      <c r="L9" s="8">
        <v>1</v>
      </c>
      <c r="M9" s="6">
        <v>1</v>
      </c>
      <c r="N9" s="7">
        <v>0.95833333333333304</v>
      </c>
      <c r="O9" s="27">
        <v>1</v>
      </c>
    </row>
    <row r="10" spans="1:15" x14ac:dyDescent="0.25">
      <c r="A10" s="26" t="s">
        <v>13</v>
      </c>
      <c r="B10" s="5" t="s">
        <v>16</v>
      </c>
      <c r="C10" s="5" t="s">
        <v>23</v>
      </c>
      <c r="D10" s="6">
        <v>1</v>
      </c>
      <c r="E10" s="7">
        <v>1</v>
      </c>
      <c r="F10" s="8">
        <v>1</v>
      </c>
      <c r="G10" s="6">
        <v>1</v>
      </c>
      <c r="H10" s="7">
        <v>1</v>
      </c>
      <c r="I10" s="8">
        <v>0.75</v>
      </c>
      <c r="J10" s="6">
        <v>1</v>
      </c>
      <c r="K10" s="7">
        <v>1</v>
      </c>
      <c r="L10" s="8">
        <v>1</v>
      </c>
      <c r="M10" s="6">
        <v>1</v>
      </c>
      <c r="N10" s="7">
        <v>1</v>
      </c>
      <c r="O10" s="27">
        <v>1</v>
      </c>
    </row>
    <row r="11" spans="1:15" x14ac:dyDescent="0.25">
      <c r="A11" s="26" t="s">
        <v>13</v>
      </c>
      <c r="B11" s="5" t="s">
        <v>17</v>
      </c>
      <c r="C11" s="5" t="s">
        <v>28</v>
      </c>
      <c r="D11" s="6">
        <v>1</v>
      </c>
      <c r="E11" s="7">
        <v>1</v>
      </c>
      <c r="F11" s="8">
        <v>1</v>
      </c>
      <c r="G11" s="6">
        <v>1</v>
      </c>
      <c r="H11" s="7">
        <v>1</v>
      </c>
      <c r="I11" s="8">
        <v>1</v>
      </c>
      <c r="J11" s="6">
        <v>1</v>
      </c>
      <c r="K11" s="7">
        <v>1</v>
      </c>
      <c r="L11" s="8">
        <v>0.8</v>
      </c>
      <c r="M11" s="6">
        <v>1</v>
      </c>
      <c r="N11" s="7">
        <v>1</v>
      </c>
      <c r="O11" s="27">
        <v>1</v>
      </c>
    </row>
    <row r="12" spans="1:15" x14ac:dyDescent="0.25">
      <c r="A12" s="28" t="s">
        <v>13</v>
      </c>
      <c r="B12" s="29" t="s">
        <v>17</v>
      </c>
      <c r="C12" s="29" t="s">
        <v>29</v>
      </c>
      <c r="D12" s="9">
        <v>1</v>
      </c>
      <c r="E12" s="10">
        <v>0.94736842105263097</v>
      </c>
      <c r="F12" s="11">
        <v>1</v>
      </c>
      <c r="G12" s="9">
        <v>1</v>
      </c>
      <c r="H12" s="10">
        <v>0.95652173913043403</v>
      </c>
      <c r="I12" s="11">
        <v>0.75</v>
      </c>
      <c r="J12" s="9">
        <v>1</v>
      </c>
      <c r="K12" s="10">
        <v>0.95</v>
      </c>
      <c r="L12" s="11">
        <v>1</v>
      </c>
      <c r="M12" s="9">
        <v>1</v>
      </c>
      <c r="N12" s="10">
        <v>1</v>
      </c>
      <c r="O12" s="30">
        <v>1</v>
      </c>
    </row>
    <row r="13" spans="1:15" x14ac:dyDescent="0.25">
      <c r="A13" s="21" t="s">
        <v>30</v>
      </c>
      <c r="B13" s="19" t="s">
        <v>16</v>
      </c>
      <c r="C13" s="19" t="s">
        <v>31</v>
      </c>
      <c r="D13" s="22">
        <v>1</v>
      </c>
      <c r="E13" s="23">
        <v>1</v>
      </c>
      <c r="F13" s="24">
        <v>1</v>
      </c>
      <c r="G13" s="22">
        <v>1</v>
      </c>
      <c r="H13" s="23">
        <v>1</v>
      </c>
      <c r="I13" s="24">
        <v>1</v>
      </c>
      <c r="J13" s="22">
        <v>1</v>
      </c>
      <c r="K13" s="23">
        <v>1</v>
      </c>
      <c r="L13" s="24">
        <v>1</v>
      </c>
      <c r="M13" s="22">
        <v>1</v>
      </c>
      <c r="N13" s="23">
        <v>1</v>
      </c>
      <c r="O13" s="25">
        <v>0.66666666666666596</v>
      </c>
    </row>
    <row r="14" spans="1:15" x14ac:dyDescent="0.25">
      <c r="A14" s="26" t="s">
        <v>30</v>
      </c>
      <c r="B14" s="5" t="s">
        <v>16</v>
      </c>
      <c r="C14" s="5" t="s">
        <v>32</v>
      </c>
      <c r="D14" s="6">
        <v>1</v>
      </c>
      <c r="E14" s="7">
        <v>1</v>
      </c>
      <c r="F14" s="8">
        <v>1</v>
      </c>
      <c r="G14" s="6">
        <v>1</v>
      </c>
      <c r="H14" s="7">
        <v>1</v>
      </c>
      <c r="I14" s="8">
        <v>1</v>
      </c>
      <c r="J14" s="6">
        <v>1</v>
      </c>
      <c r="K14" s="7">
        <v>1</v>
      </c>
      <c r="L14" s="8">
        <v>1</v>
      </c>
      <c r="M14" s="6">
        <v>1</v>
      </c>
      <c r="N14" s="7">
        <v>1</v>
      </c>
      <c r="O14" s="27">
        <v>1</v>
      </c>
    </row>
    <row r="15" spans="1:15" x14ac:dyDescent="0.25">
      <c r="A15" s="26" t="s">
        <v>30</v>
      </c>
      <c r="B15" s="5" t="s">
        <v>16</v>
      </c>
      <c r="C15" s="5" t="s">
        <v>33</v>
      </c>
      <c r="D15" s="6">
        <v>1</v>
      </c>
      <c r="E15" s="7">
        <v>1</v>
      </c>
      <c r="F15" s="8">
        <v>1</v>
      </c>
      <c r="G15" s="6">
        <v>1</v>
      </c>
      <c r="H15" s="7">
        <v>1</v>
      </c>
      <c r="I15" s="8">
        <v>1</v>
      </c>
      <c r="J15" s="6">
        <v>1</v>
      </c>
      <c r="K15" s="7">
        <v>1</v>
      </c>
      <c r="L15" s="8">
        <v>0.72727272727272696</v>
      </c>
      <c r="M15" s="6">
        <v>1</v>
      </c>
      <c r="N15" s="7">
        <v>1</v>
      </c>
      <c r="O15" s="27">
        <v>1</v>
      </c>
    </row>
    <row r="16" spans="1:15" x14ac:dyDescent="0.25">
      <c r="A16" s="26" t="s">
        <v>30</v>
      </c>
      <c r="B16" s="5" t="s">
        <v>17</v>
      </c>
      <c r="C16" s="5" t="s">
        <v>34</v>
      </c>
      <c r="D16" s="6">
        <v>1</v>
      </c>
      <c r="E16" s="7">
        <v>1</v>
      </c>
      <c r="F16" s="8">
        <v>1</v>
      </c>
      <c r="G16" s="6">
        <v>0.8</v>
      </c>
      <c r="H16" s="7">
        <v>0.88888888888888795</v>
      </c>
      <c r="I16" s="8">
        <v>1</v>
      </c>
      <c r="J16" s="6">
        <v>0.90909090909090895</v>
      </c>
      <c r="K16" s="7">
        <v>1</v>
      </c>
      <c r="L16" s="8">
        <v>0.75</v>
      </c>
      <c r="M16" s="6">
        <v>1</v>
      </c>
      <c r="N16" s="7">
        <v>1</v>
      </c>
      <c r="O16" s="27">
        <v>1</v>
      </c>
    </row>
    <row r="17" spans="1:15" x14ac:dyDescent="0.25">
      <c r="A17" s="28" t="s">
        <v>30</v>
      </c>
      <c r="B17" s="29" t="s">
        <v>17</v>
      </c>
      <c r="C17" s="29" t="s">
        <v>35</v>
      </c>
      <c r="D17" s="9">
        <v>1</v>
      </c>
      <c r="E17" s="10">
        <v>1</v>
      </c>
      <c r="F17" s="11">
        <v>1</v>
      </c>
      <c r="G17" s="9">
        <v>1</v>
      </c>
      <c r="H17" s="10">
        <v>0.95454545454545403</v>
      </c>
      <c r="I17" s="11">
        <v>1</v>
      </c>
      <c r="J17" s="9">
        <v>0.94117647058823495</v>
      </c>
      <c r="K17" s="10">
        <v>0.952380952380952</v>
      </c>
      <c r="L17" s="11">
        <v>1</v>
      </c>
      <c r="M17" s="9">
        <v>1</v>
      </c>
      <c r="N17" s="10">
        <v>1</v>
      </c>
      <c r="O17" s="30">
        <v>1</v>
      </c>
    </row>
    <row r="18" spans="1:15" x14ac:dyDescent="0.25">
      <c r="A18" s="21" t="s">
        <v>14</v>
      </c>
      <c r="B18" s="19" t="s">
        <v>16</v>
      </c>
      <c r="C18" s="19" t="s">
        <v>36</v>
      </c>
      <c r="D18" s="22">
        <v>1</v>
      </c>
      <c r="E18" s="23">
        <v>1</v>
      </c>
      <c r="F18" s="24">
        <v>1</v>
      </c>
      <c r="G18" s="22">
        <v>1</v>
      </c>
      <c r="H18" s="23">
        <v>0.90909090909090895</v>
      </c>
      <c r="I18" s="24">
        <v>1</v>
      </c>
      <c r="J18" s="22">
        <v>1</v>
      </c>
      <c r="K18" s="23">
        <v>0.92307692307692302</v>
      </c>
      <c r="L18" s="24">
        <v>1</v>
      </c>
      <c r="M18" s="22">
        <v>1</v>
      </c>
      <c r="N18" s="23">
        <v>1</v>
      </c>
      <c r="O18" s="25">
        <v>1</v>
      </c>
    </row>
    <row r="19" spans="1:15" x14ac:dyDescent="0.25">
      <c r="A19" s="26" t="s">
        <v>14</v>
      </c>
      <c r="B19" s="5" t="s">
        <v>16</v>
      </c>
      <c r="C19" s="5" t="s">
        <v>37</v>
      </c>
      <c r="D19" s="6">
        <v>0.9375</v>
      </c>
      <c r="E19" s="7">
        <v>0.94117647058823495</v>
      </c>
      <c r="F19" s="8">
        <v>1</v>
      </c>
      <c r="G19" s="6">
        <v>1</v>
      </c>
      <c r="H19" s="7">
        <v>0.64285714285714202</v>
      </c>
      <c r="I19" s="8">
        <v>1</v>
      </c>
      <c r="J19" s="6">
        <v>0.8</v>
      </c>
      <c r="K19" s="7">
        <v>1</v>
      </c>
      <c r="L19" s="8">
        <v>1</v>
      </c>
      <c r="M19" s="6">
        <v>1</v>
      </c>
      <c r="N19" s="7">
        <v>1</v>
      </c>
      <c r="O19" s="27">
        <v>1</v>
      </c>
    </row>
    <row r="20" spans="1:15" x14ac:dyDescent="0.25">
      <c r="A20" s="26" t="s">
        <v>14</v>
      </c>
      <c r="B20" s="5" t="s">
        <v>16</v>
      </c>
      <c r="C20" s="5" t="s">
        <v>38</v>
      </c>
      <c r="D20" s="6">
        <v>0.91666666666666596</v>
      </c>
      <c r="E20" s="7">
        <v>1</v>
      </c>
      <c r="F20" s="8">
        <v>0.75</v>
      </c>
      <c r="G20" s="6">
        <v>1</v>
      </c>
      <c r="H20" s="7">
        <v>1</v>
      </c>
      <c r="I20" s="8">
        <v>0.66666666666666596</v>
      </c>
      <c r="J20" s="6">
        <v>1</v>
      </c>
      <c r="K20" s="7">
        <v>1</v>
      </c>
      <c r="L20" s="8">
        <v>0.66666666666666596</v>
      </c>
      <c r="M20" s="6">
        <v>1</v>
      </c>
      <c r="N20" s="7">
        <v>1</v>
      </c>
      <c r="O20" s="27">
        <v>1</v>
      </c>
    </row>
    <row r="21" spans="1:15" x14ac:dyDescent="0.25">
      <c r="A21" s="26" t="s">
        <v>14</v>
      </c>
      <c r="B21" s="5" t="s">
        <v>17</v>
      </c>
      <c r="C21" s="5" t="s">
        <v>39</v>
      </c>
      <c r="D21" s="6">
        <v>0.94444444444444398</v>
      </c>
      <c r="E21" s="7">
        <v>1</v>
      </c>
      <c r="F21" s="8">
        <v>1</v>
      </c>
      <c r="G21" s="6">
        <v>1</v>
      </c>
      <c r="H21" s="7">
        <v>1</v>
      </c>
      <c r="I21" s="8">
        <v>1</v>
      </c>
      <c r="J21" s="6">
        <v>1</v>
      </c>
      <c r="K21" s="7">
        <v>1</v>
      </c>
      <c r="L21" s="8">
        <v>1</v>
      </c>
      <c r="M21" s="6">
        <v>0.90909090909090895</v>
      </c>
      <c r="N21" s="7">
        <v>1</v>
      </c>
      <c r="O21" s="27">
        <v>1</v>
      </c>
    </row>
    <row r="22" spans="1:15" x14ac:dyDescent="0.25">
      <c r="A22" s="28" t="s">
        <v>14</v>
      </c>
      <c r="B22" s="29" t="s">
        <v>17</v>
      </c>
      <c r="C22" s="29" t="s">
        <v>40</v>
      </c>
      <c r="D22" s="9">
        <v>1</v>
      </c>
      <c r="E22" s="10">
        <v>1</v>
      </c>
      <c r="F22" s="11">
        <v>1</v>
      </c>
      <c r="G22" s="9">
        <v>1</v>
      </c>
      <c r="H22" s="10">
        <v>1</v>
      </c>
      <c r="I22" s="11">
        <v>0.8</v>
      </c>
      <c r="J22" s="9">
        <v>1</v>
      </c>
      <c r="K22" s="10">
        <v>1</v>
      </c>
      <c r="L22" s="11">
        <v>1</v>
      </c>
      <c r="M22" s="9">
        <v>0.93333333333333302</v>
      </c>
      <c r="N22" s="10">
        <v>1</v>
      </c>
      <c r="O22" s="30">
        <v>1</v>
      </c>
    </row>
    <row r="23" spans="1:15" x14ac:dyDescent="0.25">
      <c r="A23" s="21" t="s">
        <v>15</v>
      </c>
      <c r="B23" s="19" t="s">
        <v>18</v>
      </c>
      <c r="C23" s="19" t="s">
        <v>41</v>
      </c>
      <c r="D23" s="22">
        <v>1</v>
      </c>
      <c r="E23" s="23">
        <v>1</v>
      </c>
      <c r="F23" s="24">
        <v>1</v>
      </c>
      <c r="G23" s="22">
        <v>1</v>
      </c>
      <c r="H23" s="23">
        <v>1</v>
      </c>
      <c r="I23" s="24">
        <v>1</v>
      </c>
      <c r="J23" s="22">
        <v>1</v>
      </c>
      <c r="K23" s="23">
        <v>1</v>
      </c>
      <c r="L23" s="24">
        <v>1</v>
      </c>
      <c r="M23" s="22">
        <v>1</v>
      </c>
      <c r="N23" s="23">
        <v>1</v>
      </c>
      <c r="O23" s="25">
        <v>1</v>
      </c>
    </row>
    <row r="24" spans="1:15" x14ac:dyDescent="0.25">
      <c r="A24" s="26" t="s">
        <v>15</v>
      </c>
      <c r="B24" s="5" t="s">
        <v>18</v>
      </c>
      <c r="C24" s="5" t="s">
        <v>42</v>
      </c>
      <c r="D24" s="6">
        <v>0.86666666666666603</v>
      </c>
      <c r="E24" s="7">
        <v>0.95</v>
      </c>
      <c r="F24" s="8">
        <v>1</v>
      </c>
      <c r="G24" s="6">
        <v>1</v>
      </c>
      <c r="H24" s="7">
        <v>1</v>
      </c>
      <c r="I24" s="8">
        <v>1</v>
      </c>
      <c r="J24" s="6">
        <v>1</v>
      </c>
      <c r="K24" s="7">
        <v>1</v>
      </c>
      <c r="L24" s="8">
        <v>1</v>
      </c>
      <c r="M24" s="6">
        <v>1</v>
      </c>
      <c r="N24" s="7">
        <v>0.95454545454545403</v>
      </c>
      <c r="O24" s="27">
        <v>1</v>
      </c>
    </row>
    <row r="25" spans="1:15" x14ac:dyDescent="0.25">
      <c r="A25" s="26" t="s">
        <v>15</v>
      </c>
      <c r="B25" s="5" t="s">
        <v>18</v>
      </c>
      <c r="C25" s="5" t="s">
        <v>43</v>
      </c>
      <c r="D25" s="6">
        <v>1</v>
      </c>
      <c r="E25" s="7">
        <v>0.94736842105263097</v>
      </c>
      <c r="F25" s="8">
        <v>1</v>
      </c>
      <c r="G25" s="6">
        <v>1</v>
      </c>
      <c r="H25" s="7">
        <v>1</v>
      </c>
      <c r="I25" s="8">
        <v>1</v>
      </c>
      <c r="J25" s="6">
        <v>1</v>
      </c>
      <c r="K25" s="7">
        <v>1</v>
      </c>
      <c r="L25" s="8">
        <v>1</v>
      </c>
      <c r="M25" s="6">
        <v>1</v>
      </c>
      <c r="N25" s="7">
        <v>1</v>
      </c>
      <c r="O25" s="27">
        <v>1</v>
      </c>
    </row>
    <row r="26" spans="1:15" x14ac:dyDescent="0.25">
      <c r="A26" s="26" t="s">
        <v>15</v>
      </c>
      <c r="B26" s="5" t="s">
        <v>18</v>
      </c>
      <c r="C26" s="5" t="s">
        <v>44</v>
      </c>
      <c r="D26" s="6">
        <v>1</v>
      </c>
      <c r="E26" s="7">
        <v>1</v>
      </c>
      <c r="F26" s="8">
        <v>1</v>
      </c>
      <c r="G26" s="6">
        <v>1</v>
      </c>
      <c r="H26" s="7">
        <v>1</v>
      </c>
      <c r="I26" s="8">
        <v>1</v>
      </c>
      <c r="J26" s="6">
        <v>1</v>
      </c>
      <c r="K26" s="7">
        <v>1</v>
      </c>
      <c r="L26" s="8">
        <v>0.85714285714285698</v>
      </c>
      <c r="M26" s="6">
        <v>1</v>
      </c>
      <c r="N26" s="7">
        <v>1</v>
      </c>
      <c r="O26" s="27">
        <v>1</v>
      </c>
    </row>
    <row r="27" spans="1:15" x14ac:dyDescent="0.25">
      <c r="A27" s="28" t="s">
        <v>15</v>
      </c>
      <c r="B27" s="29" t="s">
        <v>18</v>
      </c>
      <c r="C27" s="29" t="s">
        <v>45</v>
      </c>
      <c r="D27" s="9">
        <v>0.86666666666666603</v>
      </c>
      <c r="E27" s="10">
        <v>1</v>
      </c>
      <c r="F27" s="11">
        <v>1</v>
      </c>
      <c r="G27" s="9">
        <v>1</v>
      </c>
      <c r="H27" s="10">
        <v>0.952380952380952</v>
      </c>
      <c r="I27" s="11">
        <v>1</v>
      </c>
      <c r="J27" s="9">
        <v>1</v>
      </c>
      <c r="K27" s="10">
        <v>1</v>
      </c>
      <c r="L27" s="11">
        <v>1</v>
      </c>
      <c r="M27" s="9">
        <v>1</v>
      </c>
      <c r="N27" s="10">
        <v>0.90909090909090895</v>
      </c>
      <c r="O27" s="30">
        <v>1</v>
      </c>
    </row>
    <row r="28" spans="1:15" ht="15.75" thickBot="1" x14ac:dyDescent="0.3">
      <c r="C28" s="21" t="s">
        <v>51</v>
      </c>
      <c r="D28" s="12">
        <f>AVERAGE(D3:D27)</f>
        <v>0.97204700854700843</v>
      </c>
      <c r="E28" s="13">
        <f t="shared" ref="E28:O28" si="0">AVERAGE(E3:E27)</f>
        <v>0.98721431028551765</v>
      </c>
      <c r="F28" s="14">
        <f t="shared" si="0"/>
        <v>0.96666666666666656</v>
      </c>
      <c r="G28" s="12">
        <f t="shared" si="0"/>
        <v>0.98533333333333328</v>
      </c>
      <c r="H28" s="13">
        <f t="shared" si="0"/>
        <v>0.96231846229928053</v>
      </c>
      <c r="I28" s="14">
        <f t="shared" si="0"/>
        <v>0.90866666666666662</v>
      </c>
      <c r="J28" s="12">
        <f t="shared" si="0"/>
        <v>0.98601069518716566</v>
      </c>
      <c r="K28" s="13">
        <f t="shared" si="0"/>
        <v>0.98141251791686568</v>
      </c>
      <c r="L28" s="14">
        <f t="shared" si="0"/>
        <v>0.88470995670995667</v>
      </c>
      <c r="M28" s="12">
        <f t="shared" si="0"/>
        <v>0.99103030303030304</v>
      </c>
      <c r="N28" s="13">
        <f t="shared" si="0"/>
        <v>0.98063519813519806</v>
      </c>
      <c r="O28" s="14">
        <f t="shared" si="0"/>
        <v>0.97333333333333327</v>
      </c>
    </row>
    <row r="29" spans="1:15" x14ac:dyDescent="0.25">
      <c r="C29" s="26" t="s">
        <v>49</v>
      </c>
      <c r="D29" s="15">
        <f>25-COUNTIF(D3:D27,1)</f>
        <v>6</v>
      </c>
      <c r="E29" s="16">
        <f t="shared" ref="E29:F29" si="1">25-COUNTIF(E3:E27,1)</f>
        <v>6</v>
      </c>
      <c r="F29" s="17">
        <f t="shared" si="1"/>
        <v>3</v>
      </c>
      <c r="G29" s="15">
        <f>25-COUNTIF(G3:G27,1)</f>
        <v>3</v>
      </c>
      <c r="H29" s="16">
        <f t="shared" ref="H29:I29" si="2">25-COUNTIF(H3:H27,1)</f>
        <v>8</v>
      </c>
      <c r="I29" s="17">
        <f t="shared" si="2"/>
        <v>8</v>
      </c>
      <c r="J29" s="15">
        <f>25-COUNTIF(J3:J27,1)</f>
        <v>3</v>
      </c>
      <c r="K29" s="16">
        <f t="shared" ref="K29:L29" si="3">25-COUNTIF(K3:K27,1)</f>
        <v>6</v>
      </c>
      <c r="L29" s="17">
        <f t="shared" si="3"/>
        <v>10</v>
      </c>
      <c r="M29" s="15">
        <f>25-COUNTIF(M3:M27,1)</f>
        <v>3</v>
      </c>
      <c r="N29" s="16">
        <f t="shared" ref="N29:O29" si="4">25-COUNTIF(N3:N27,1)</f>
        <v>6</v>
      </c>
      <c r="O29" s="17">
        <f t="shared" si="4"/>
        <v>2</v>
      </c>
    </row>
    <row r="30" spans="1:15" x14ac:dyDescent="0.25">
      <c r="C30" s="28" t="s">
        <v>50</v>
      </c>
      <c r="D30" s="31">
        <f>AVERAGE(D29:F29)</f>
        <v>5</v>
      </c>
      <c r="E30" s="32"/>
      <c r="F30" s="33"/>
      <c r="G30" s="31">
        <f>AVERAGE(G29:I29)</f>
        <v>6.333333333333333</v>
      </c>
      <c r="H30" s="32"/>
      <c r="I30" s="33"/>
      <c r="J30" s="31">
        <f>AVERAGE(J29:L29)</f>
        <v>6.333333333333333</v>
      </c>
      <c r="K30" s="32"/>
      <c r="L30" s="33"/>
      <c r="M30" s="31">
        <f>AVERAGE(M29:O29)</f>
        <v>3.6666666666666665</v>
      </c>
      <c r="N30" s="32"/>
      <c r="O30" s="33"/>
    </row>
  </sheetData>
  <mergeCells count="8">
    <mergeCell ref="D1:F1"/>
    <mergeCell ref="G1:I1"/>
    <mergeCell ref="J1:L1"/>
    <mergeCell ref="M1:O1"/>
    <mergeCell ref="D30:F30"/>
    <mergeCell ref="G30:I30"/>
    <mergeCell ref="J30:L30"/>
    <mergeCell ref="M30:O30"/>
  </mergeCells>
  <conditionalFormatting sqref="D3:O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O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O2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{1CBD6AED-E61C-4CA0-8210-5EA7351ABED4}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BD6AED-E61C-4CA0-8210-5EA7351ABE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D29:O29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Összefoglaló</vt:lpstr>
      <vt:lpstr>Kérdések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Tasy Levente (T6DL1U)</dc:creator>
  <cp:lastModifiedBy>Tasy Levente (T6DL1U)</cp:lastModifiedBy>
  <dcterms:created xsi:type="dcterms:W3CDTF">2026-09-19T17:26:24Z</dcterms:created>
  <dcterms:modified xsi:type="dcterms:W3CDTF">2026-09-20T13:18:44Z</dcterms:modified>
</cp:coreProperties>
</file>